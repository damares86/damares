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 POLIZZE 2023" sheetId="1" state="visible" r:id="rId2"/>
    <sheet name="Foglio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<sst xmlns="http://schemas.openxmlformats.org/spreadsheetml/2006/main" count="263" uniqueCount="167">
  <si>
    <t xml:space="preserve">COMPAGNIA</t>
  </si>
  <si>
    <t xml:space="preserve">POLIZZA NUMERO</t>
  </si>
  <si>
    <t xml:space="preserve">DATA EMISSIONE </t>
  </si>
  <si>
    <t xml:space="preserve">CONTRAENTE</t>
  </si>
  <si>
    <t xml:space="preserve">BENEFICIARIO</t>
  </si>
  <si>
    <t xml:space="preserve">       IMPORT. GARANTITO       </t>
  </si>
  <si>
    <t xml:space="preserve"> PREMIO NETTO </t>
  </si>
  <si>
    <t xml:space="preserve">PREMIO IMPONIBILE</t>
  </si>
  <si>
    <t xml:space="preserve"> PREMIO LORDO </t>
  </si>
  <si>
    <t xml:space="preserve"> CONSULENZA </t>
  </si>
  <si>
    <t xml:space="preserve">DECORRENZA</t>
  </si>
  <si>
    <t xml:space="preserve">SCADENZA</t>
  </si>
  <si>
    <t xml:space="preserve">DATA INCASSO</t>
  </si>
  <si>
    <t xml:space="preserve">MODALITA' INCASSO</t>
  </si>
  <si>
    <t xml:space="preserve">COLLABORATORE</t>
  </si>
  <si>
    <t xml:space="preserve">TIPOLOGIA </t>
  </si>
  <si>
    <t xml:space="preserve">COPIA DIREZIONE RICEVUTA </t>
  </si>
  <si>
    <t xml:space="preserve">ALTRO REFERENTE</t>
  </si>
  <si>
    <t xml:space="preserve">% PROVV AVERE</t>
  </si>
  <si>
    <t xml:space="preserve"> PROVV AVERE </t>
  </si>
  <si>
    <t xml:space="preserve"> PROVV NETTE AVERE </t>
  </si>
  <si>
    <t xml:space="preserve">PAGATO COMPAGNIA</t>
  </si>
  <si>
    <t xml:space="preserve">DA PAGARE COMPAGNIA</t>
  </si>
  <si>
    <t xml:space="preserve">DARE/AVERE COMPAGNIA</t>
  </si>
  <si>
    <t xml:space="preserve">% PROVV PREMIO DARE</t>
  </si>
  <si>
    <t xml:space="preserve">PROVV PREMIO DARE</t>
  </si>
  <si>
    <t xml:space="preserve">% PROVV CONSUL DARE</t>
  </si>
  <si>
    <t xml:space="preserve">PROVV CONSUL DARE</t>
  </si>
  <si>
    <t xml:space="preserve">TOT PROVV DARE</t>
  </si>
  <si>
    <t xml:space="preserve">TOT PROVV NETTE DARE</t>
  </si>
  <si>
    <t xml:space="preserve">PAGATO DA COLLAB</t>
  </si>
  <si>
    <t xml:space="preserve">DA PAGARE DA COLLAB</t>
  </si>
  <si>
    <t xml:space="preserve">DARE/AVERE COLLAB</t>
  </si>
  <si>
    <t xml:space="preserve">UTILE NETTO CFA</t>
  </si>
  <si>
    <t xml:space="preserve">TAVERNA</t>
  </si>
  <si>
    <t xml:space="preserve">CERTIFICAZIONE</t>
  </si>
  <si>
    <t xml:space="preserve">EL HAJJAJI ABDELMAJID</t>
  </si>
  <si>
    <t xml:space="preserve">MOTORIZZAZIONE CIVILE DI TORINO</t>
  </si>
  <si>
    <t xml:space="preserve">FT. N. 143-144</t>
  </si>
  <si>
    <t xml:space="preserve">FITA</t>
  </si>
  <si>
    <t xml:space="preserve">CAPACITA' FINANZIARIA</t>
  </si>
  <si>
    <t xml:space="preserve">NO</t>
  </si>
  <si>
    <t xml:space="preserve">ITALIANA</t>
  </si>
  <si>
    <t xml:space="preserve">001858020102/01/2023</t>
  </si>
  <si>
    <t xml:space="preserve">DIAB ASHRAF FARAHT ABDELFATTAH MOHAMED</t>
  </si>
  <si>
    <t xml:space="preserve">DIAB NORA FARAHT ABDELFATTAH MOHAMED</t>
  </si>
  <si>
    <t xml:space="preserve">BONIFICO ITALIANA</t>
  </si>
  <si>
    <t xml:space="preserve">PIXXA</t>
  </si>
  <si>
    <t xml:space="preserve">MEZZI DI SUSSISTENZA</t>
  </si>
  <si>
    <t xml:space="preserve">001859020102/01/2023</t>
  </si>
  <si>
    <t xml:space="preserve">ATTIA MOHAMED OSSAMA ABDALLA AHMED AHMED</t>
  </si>
  <si>
    <t xml:space="preserve">S2C</t>
  </si>
  <si>
    <t xml:space="preserve">01.000060655</t>
  </si>
  <si>
    <t xml:space="preserve">COGO CARLO AUTOSERVIZI</t>
  </si>
  <si>
    <t xml:space="preserve">MOTORIZZAZIONE CIVILE DI VICENZA</t>
  </si>
  <si>
    <t xml:space="preserve">BON. CFA AL NETTO - EC DEL 29/12/22 € 33,04</t>
  </si>
  <si>
    <t xml:space="preserve">FERRARETTO</t>
  </si>
  <si>
    <t xml:space="preserve">SI</t>
  </si>
  <si>
    <t xml:space="preserve">01020123</t>
  </si>
  <si>
    <t xml:space="preserve">RODIO ROSSELLA</t>
  </si>
  <si>
    <t xml:space="preserve">MASSAGLIA EUGENIA/MASSAGLIA ANILLA</t>
  </si>
  <si>
    <t xml:space="preserve">SANTANIELLO</t>
  </si>
  <si>
    <t xml:space="preserve">LOCAZIONE</t>
  </si>
  <si>
    <t xml:space="preserve">02020123</t>
  </si>
  <si>
    <t xml:space="preserve">AUDELLO RICCARDO</t>
  </si>
  <si>
    <t xml:space="preserve">001750030103/01/2023</t>
  </si>
  <si>
    <t xml:space="preserve">SAMRA MOHAMED AHMED FATHY AHMED</t>
  </si>
  <si>
    <t xml:space="preserve">ELSAYED AHMED FATHY AHMED SAMRA</t>
  </si>
  <si>
    <t xml:space="preserve">ANNULLA E SOSTITUISCE N. 001750281028/10/2022</t>
  </si>
  <si>
    <t xml:space="preserve">EPASA</t>
  </si>
  <si>
    <t xml:space="preserve">001860030103/01/2023</t>
  </si>
  <si>
    <t xml:space="preserve">SARR AMY</t>
  </si>
  <si>
    <t xml:space="preserve">FALL DIOR</t>
  </si>
  <si>
    <t xml:space="preserve">SE.GUI.MI</t>
  </si>
  <si>
    <t xml:space="preserve">ERGO</t>
  </si>
  <si>
    <t xml:space="preserve">5138092</t>
  </si>
  <si>
    <t xml:space="preserve">FALL CHEIKH FAYE</t>
  </si>
  <si>
    <t xml:space="preserve">FALL MAME GUEYE</t>
  </si>
  <si>
    <t xml:space="preserve">BONIFICO CFA</t>
  </si>
  <si>
    <t xml:space="preserve">SFCA - FACILE CAUZIONI</t>
  </si>
  <si>
    <t xml:space="preserve">SANITARIA</t>
  </si>
  <si>
    <t xml:space="preserve">01.000060660</t>
  </si>
  <si>
    <t xml:space="preserve">GRUPPO LA NUOVA POSTA S.R.L.</t>
  </si>
  <si>
    <t xml:space="preserve">COMUNE DI QUARTU SANT’ELENA</t>
  </si>
  <si>
    <t xml:space="preserve">IBC</t>
  </si>
  <si>
    <t xml:space="preserve">CAUZIONE PROVVISORIA</t>
  </si>
  <si>
    <t xml:space="preserve">01030123</t>
  </si>
  <si>
    <t xml:space="preserve">VISAN VALERIU</t>
  </si>
  <si>
    <t xml:space="preserve">QUATTROCCHI OSVALDO/SALICE CARLA MARIA</t>
  </si>
  <si>
    <t xml:space="preserve">PAGAMENTO ITALIANA</t>
  </si>
  <si>
    <t xml:space="preserve">GRUPPO IDEA</t>
  </si>
  <si>
    <t xml:space="preserve">REVO</t>
  </si>
  <si>
    <t xml:space="preserve">1941153</t>
  </si>
  <si>
    <t xml:space="preserve">ELETTROTERM DI CASSINELLI GILBERTO</t>
  </si>
  <si>
    <t xml:space="preserve">GUARDIA DI FINANZA -REPARTO TECNICO LOGISTICO AMMINISTRATIVO PIEMONTE</t>
  </si>
  <si>
    <t xml:space="preserve">BON. CFA + NS. FT. N. 2</t>
  </si>
  <si>
    <t xml:space="preserve">DIRETTO</t>
  </si>
  <si>
    <t xml:space="preserve">CAUZIONE DEFINITIVA</t>
  </si>
  <si>
    <t xml:space="preserve">SI </t>
  </si>
  <si>
    <t xml:space="preserve">1941232</t>
  </si>
  <si>
    <t xml:space="preserve">FARMACIA TULLIO DEL DOTT. CESIDIO TULLIO &amp; C. SAS</t>
  </si>
  <si>
    <t xml:space="preserve">Agenzia per la Coesione Territoriale</t>
  </si>
  <si>
    <t xml:space="preserve">BON. CFA + NS. FT. N. 494/2022</t>
  </si>
  <si>
    <t xml:space="preserve">A&amp;B AAA</t>
  </si>
  <si>
    <t xml:space="preserve">CONTRIBUTO</t>
  </si>
  <si>
    <t xml:space="preserve">AG FROSINONE</t>
  </si>
  <si>
    <t xml:space="preserve">001861040104/01/2023</t>
  </si>
  <si>
    <t xml:space="preserve">KHOUMA GORA</t>
  </si>
  <si>
    <t xml:space="preserve">KHOUMA MAREME</t>
  </si>
  <si>
    <t xml:space="preserve">ABC</t>
  </si>
  <si>
    <t xml:space="preserve">IB202347_APP 1</t>
  </si>
  <si>
    <t xml:space="preserve">GRANDE ALBERGO MIRAMARE S.P.A.</t>
  </si>
  <si>
    <t xml:space="preserve">COMANDO BRIGATA MECCANIZZATA "AOSTA" - DIREZIONE DI INTENDENZA</t>
  </si>
  <si>
    <t xml:space="preserve">CAUZIONE DEFINITIVA APPENDICE</t>
  </si>
  <si>
    <t xml:space="preserve">AG REGGIO CALABRIA</t>
  </si>
  <si>
    <t xml:space="preserve">IB201103_APP 1</t>
  </si>
  <si>
    <t xml:space="preserve">REHOME S.R.L.</t>
  </si>
  <si>
    <t xml:space="preserve">COMUNE DI TORINO</t>
  </si>
  <si>
    <t xml:space="preserve">IUNCO</t>
  </si>
  <si>
    <t xml:space="preserve">001862040104/01/2023</t>
  </si>
  <si>
    <t xml:space="preserve">ASSOULI KAMAL</t>
  </si>
  <si>
    <t xml:space="preserve">EZZAHRANY EL KBIRA</t>
  </si>
  <si>
    <t xml:space="preserve">JSC DALLBOGG</t>
  </si>
  <si>
    <t xml:space="preserve">2022-100-05-000040-10-000029313_APP 1</t>
  </si>
  <si>
    <t xml:space="preserve">DEMA GROUP S.R.L.</t>
  </si>
  <si>
    <t xml:space="preserve">CARDINALE GAETANO CARLO</t>
  </si>
  <si>
    <r>
      <rPr>
        <sz val="11"/>
        <color rgb="FF000000"/>
        <rFont val="Calibri"/>
        <family val="2"/>
        <charset val="1"/>
      </rPr>
      <t xml:space="preserve">BON. DA CFA A IBH FT. N. 266 DEL 22/12/22</t>
    </r>
    <r>
      <rPr>
        <sz val="11"/>
        <color rgb="FFFF0000"/>
        <rFont val="Calibri"/>
        <family val="2"/>
        <charset val="1"/>
      </rPr>
      <t xml:space="preserve"> </t>
    </r>
  </si>
  <si>
    <t xml:space="preserve">ASSICOPITALIA</t>
  </si>
  <si>
    <t xml:space="preserve">L210 APPENDICE VARIAZIONE BENEFICIARI</t>
  </si>
  <si>
    <t xml:space="preserve">2023-070-13-000040-01-000032296</t>
  </si>
  <si>
    <t xml:space="preserve">M. &amp; V. PERSONAL SERVICES S.R.L.</t>
  </si>
  <si>
    <t xml:space="preserve">INTESA SANPAOLO SPA</t>
  </si>
  <si>
    <t xml:space="preserve">12/12/22-21/12/22</t>
  </si>
  <si>
    <t xml:space="preserve">BON. CFA + NS. FT. N. 486 (9.804,00+22.876,00)</t>
  </si>
  <si>
    <t xml:space="preserve">CARIOGGIA DEI OFFICE</t>
  </si>
  <si>
    <t xml:space="preserve">PRIVATI</t>
  </si>
  <si>
    <t xml:space="preserve">IU200189</t>
  </si>
  <si>
    <t xml:space="preserve">SILVANO MARIO</t>
  </si>
  <si>
    <t xml:space="preserve">COMUNE DI LAIGUEGLIA</t>
  </si>
  <si>
    <t xml:space="preserve">03/11/22-09/12/22</t>
  </si>
  <si>
    <t xml:space="preserve">BON. CFA + NS. FT. N. 493 (920,00+6.080,00)</t>
  </si>
  <si>
    <t xml:space="preserve">OPERE DI URBANIZZAZIONE</t>
  </si>
  <si>
    <t xml:space="preserve">01050123</t>
  </si>
  <si>
    <t xml:space="preserve">MALA LIRIDON</t>
  </si>
  <si>
    <t xml:space="preserve">BAVA ANGELO</t>
  </si>
  <si>
    <t xml:space="preserve">DEMARIA GIUSEPPE</t>
  </si>
  <si>
    <t xml:space="preserve">FT. N. 13-14</t>
  </si>
  <si>
    <t xml:space="preserve">BROTRANS DI BRONDA MATTEO</t>
  </si>
  <si>
    <t xml:space="preserve">DA PAGARE</t>
  </si>
  <si>
    <t xml:space="preserve">FANTINO GIORGIO</t>
  </si>
  <si>
    <t xml:space="preserve">FT. N. 83-84</t>
  </si>
  <si>
    <t xml:space="preserve">001863090109/01/2023</t>
  </si>
  <si>
    <t xml:space="preserve">SANTANA MANAN JOAQUIN</t>
  </si>
  <si>
    <t xml:space="preserve">GARCIA CAPELLAN HECTOR DOMINGO</t>
  </si>
  <si>
    <t xml:space="preserve">SANTANA</t>
  </si>
  <si>
    <t xml:space="preserve">001864090109/01/2023</t>
  </si>
  <si>
    <t xml:space="preserve">OSUNDE PETER CLARA</t>
  </si>
  <si>
    <t xml:space="preserve">UWADIAE JOAN OSAZEWMINDE</t>
  </si>
  <si>
    <t xml:space="preserve">001707090109/01/2023</t>
  </si>
  <si>
    <t xml:space="preserve">NEBULONE SILVIA</t>
  </si>
  <si>
    <t xml:space="preserve">TRAORE NDEYE KHADY</t>
  </si>
  <si>
    <t xml:space="preserve">ANNULLA E SOSTITUISCE N. 001707071007/10/2022</t>
  </si>
  <si>
    <t xml:space="preserve">1942256</t>
  </si>
  <si>
    <t xml:space="preserve">ITALSERVICE SRL</t>
  </si>
  <si>
    <t xml:space="preserve">ANPAL - AGENZIA NAZIONALE PER LE POLITICHE ATTIVE DEL LAVORO</t>
  </si>
  <si>
    <t xml:space="preserve">BON. CFA + NS. FT. N. 16</t>
  </si>
  <si>
    <t xml:space="preserve">AG TRIGGIANO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</si>
</sst>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[$-410]d\-mmm\-yy;@"/>
    <numFmt numFmtId="168" formatCode="_-* #,##0.00&quot; €&quot;_-;\-* #,##0.00&quot; €&quot;_-;_-* \-??&quot; €&quot;_-;_-@_-"/>
    <numFmt numFmtId="169" formatCode="_-&quot;€ &quot;* #,##0.00_-;&quot;-€ &quot;* #,##0.00_-;_-&quot;€ &quot;* \-??_-;_-@_-"/>
    <numFmt numFmtId="170" formatCode="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  <charset val="1"/>
    </font>
    <font>
      <b val="true"/>
      <sz val="11"/>
      <color rgb="FF000000"/>
      <name val="Calibri Light"/>
      <family val="1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H228"/>
  <sheetViews>
    <sheetView showFormulas="false" showGridLines="true" showRowColHeaders="true" showZeros="true" rightToLeft="false" tabSelected="true" showOutlineSymbols="true" defaultGridColor="true" view="normal" topLeftCell="AB1" colorId="64" zoomScale="110" zoomScaleNormal="110" zoomScalePageLayoutView="100" workbookViewId="0">
      <pane xSplit="0" ySplit="2" topLeftCell="A4" activePane="bottomLeft" state="frozen"/>
      <selection pane="topLeft" activeCell="AB1" activeCellId="0" sqref="AB1"/>
      <selection pane="bottomLeft" activeCell="BF36" activeCellId="0" sqref="BF3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23.28"/>
    <col collapsed="false" customWidth="true" hidden="false" outlineLevel="0" max="3" min="3" style="1" width="21.71"/>
    <col collapsed="false" customWidth="true" hidden="false" outlineLevel="0" max="4" min="4" style="1" width="60.29"/>
    <col collapsed="false" customWidth="true" hidden="false" outlineLevel="0" max="5" min="5" style="1" width="37"/>
    <col collapsed="false" customWidth="true" hidden="false" outlineLevel="0" max="6" min="6" style="1" width="25.85"/>
    <col collapsed="false" customWidth="true" hidden="false" outlineLevel="0" max="8" min="7" style="1" width="21.57"/>
    <col collapsed="false" customWidth="true" hidden="false" outlineLevel="0" max="9" min="9" style="1" width="22.28"/>
    <col collapsed="false" customWidth="true" hidden="false" outlineLevel="0" max="10" min="10" style="1" width="21.43"/>
    <col collapsed="false" customWidth="true" hidden="false" outlineLevel="0" max="11" min="11" style="1" width="15.43"/>
    <col collapsed="false" customWidth="true" hidden="false" outlineLevel="0" max="12" min="12" style="1" width="13.85"/>
    <col collapsed="false" customWidth="true" hidden="false" outlineLevel="0" max="13" min="13" style="1" width="19.85"/>
    <col collapsed="false" customWidth="true" hidden="false" outlineLevel="0" max="14" min="14" style="1" width="44.71"/>
    <col collapsed="false" customWidth="true" hidden="false" outlineLevel="0" max="15" min="15" style="1" width="22.57"/>
    <col collapsed="false" customWidth="true" hidden="false" outlineLevel="0" max="16" min="16" style="1" width="30.29"/>
    <col collapsed="false" customWidth="true" hidden="false" outlineLevel="0" max="17" min="17" style="1" width="36"/>
    <col collapsed="false" customWidth="true" hidden="false" outlineLevel="0" max="18" min="18" style="1" width="20.43"/>
    <col collapsed="false" customWidth="true" hidden="false" outlineLevel="0" max="19" min="19" style="1" width="17"/>
    <col collapsed="false" customWidth="true" hidden="false" outlineLevel="0" max="20" min="20" style="1" width="17.85"/>
    <col collapsed="false" customWidth="true" hidden="false" outlineLevel="0" max="21" min="21" style="1" width="23.43"/>
    <col collapsed="false" customWidth="true" hidden="false" outlineLevel="0" max="22" min="22" style="1" width="20.85"/>
    <col collapsed="false" customWidth="true" hidden="false" outlineLevel="0" max="23" min="23" style="1" width="24"/>
    <col collapsed="false" customWidth="true" hidden="false" outlineLevel="0" max="24" min="24" style="1" width="25.85"/>
    <col collapsed="false" customWidth="true" hidden="false" outlineLevel="0" max="25" min="25" style="1" width="24"/>
    <col collapsed="false" customWidth="true" hidden="false" outlineLevel="0" max="26" min="26" style="1" width="21.57"/>
    <col collapsed="false" customWidth="true" hidden="false" outlineLevel="0" max="27" min="27" style="1" width="23.72"/>
    <col collapsed="false" customWidth="true" hidden="false" outlineLevel="0" max="28" min="28" style="1" width="21.43"/>
    <col collapsed="false" customWidth="true" hidden="false" outlineLevel="0" max="29" min="29" style="1" width="17.85"/>
    <col collapsed="false" customWidth="true" hidden="false" outlineLevel="0" max="30" min="30" style="1" width="24.57"/>
    <col collapsed="false" customWidth="true" hidden="false" outlineLevel="0" max="31" min="31" style="1" width="19.85"/>
    <col collapsed="false" customWidth="true" hidden="false" outlineLevel="0" max="33" min="32" style="1" width="23"/>
    <col collapsed="false" customWidth="true" hidden="false" outlineLevel="0" max="34" min="34" style="1" width="21.57"/>
    <col collapsed="false" customWidth="false" hidden="false" outlineLevel="0" max="1024" min="35" style="1" width="8.71"/>
  </cols>
  <sheetData>
    <row r="1" customFormat="false" ht="21" hidden="false" customHeight="false" outlineLevel="0" collapsed="false">
      <c r="A1" s="2" t="n">
        <v>2023</v>
      </c>
      <c r="B1" s="3"/>
      <c r="C1" s="4"/>
      <c r="F1" s="5"/>
      <c r="G1" s="5"/>
      <c r="H1" s="5"/>
      <c r="I1" s="6"/>
      <c r="J1" s="7"/>
      <c r="K1" s="4"/>
      <c r="L1" s="4"/>
      <c r="M1" s="4"/>
      <c r="Q1" s="8"/>
      <c r="V1" s="5"/>
      <c r="AE1" s="6"/>
    </row>
    <row r="2" customFormat="false" ht="15.75" hidden="false" customHeight="false" outlineLevel="0" collapsed="false">
      <c r="A2" s="9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3" t="s">
        <v>5</v>
      </c>
      <c r="G2" s="13" t="s">
        <v>6</v>
      </c>
      <c r="H2" s="13" t="s">
        <v>7</v>
      </c>
      <c r="I2" s="14" t="s">
        <v>8</v>
      </c>
      <c r="J2" s="15" t="s">
        <v>9</v>
      </c>
      <c r="K2" s="11" t="s">
        <v>10</v>
      </c>
      <c r="L2" s="11" t="s">
        <v>11</v>
      </c>
      <c r="M2" s="11" t="s">
        <v>12</v>
      </c>
      <c r="N2" s="12" t="s">
        <v>13</v>
      </c>
      <c r="O2" s="16" t="s">
        <v>14</v>
      </c>
      <c r="P2" s="12" t="s">
        <v>15</v>
      </c>
      <c r="Q2" s="17" t="s">
        <v>16</v>
      </c>
      <c r="R2" s="14" t="s">
        <v>17</v>
      </c>
      <c r="S2" s="14" t="s">
        <v>18</v>
      </c>
      <c r="T2" s="15" t="s">
        <v>19</v>
      </c>
      <c r="U2" s="15" t="s">
        <v>20</v>
      </c>
      <c r="V2" s="13" t="s">
        <v>21</v>
      </c>
      <c r="W2" s="11" t="s">
        <v>22</v>
      </c>
      <c r="X2" s="11" t="s">
        <v>23</v>
      </c>
      <c r="Y2" s="11" t="s">
        <v>24</v>
      </c>
      <c r="Z2" s="12" t="s">
        <v>25</v>
      </c>
      <c r="AA2" s="12" t="s">
        <v>26</v>
      </c>
      <c r="AB2" s="12" t="s">
        <v>27</v>
      </c>
      <c r="AC2" s="17" t="s">
        <v>28</v>
      </c>
      <c r="AD2" s="17" t="s">
        <v>29</v>
      </c>
      <c r="AE2" s="18" t="s">
        <v>30</v>
      </c>
      <c r="AF2" s="17" t="s">
        <v>31</v>
      </c>
      <c r="AG2" s="17" t="s">
        <v>32</v>
      </c>
      <c r="AH2" s="17" t="s">
        <v>33</v>
      </c>
    </row>
    <row r="3" customFormat="false" ht="15" hidden="false" customHeight="false" outlineLevel="0" collapsed="false">
      <c r="A3" s="19" t="s">
        <v>34</v>
      </c>
      <c r="B3" s="20" t="s">
        <v>35</v>
      </c>
      <c r="C3" s="21" t="n">
        <v>44928</v>
      </c>
      <c r="D3" s="4" t="s">
        <v>36</v>
      </c>
      <c r="E3" s="1" t="s">
        <v>37</v>
      </c>
      <c r="F3" s="5" t="n">
        <v>19000</v>
      </c>
      <c r="G3" s="5" t="n">
        <v>0</v>
      </c>
      <c r="H3" s="5" t="n">
        <v>0</v>
      </c>
      <c r="I3" s="6" t="n">
        <v>0</v>
      </c>
      <c r="J3" s="7" t="n">
        <v>65</v>
      </c>
      <c r="K3" s="4" t="n">
        <v>44928</v>
      </c>
      <c r="L3" s="4" t="n">
        <v>45293</v>
      </c>
      <c r="M3" s="4" t="n">
        <v>45054</v>
      </c>
      <c r="N3" s="1" t="s">
        <v>38</v>
      </c>
      <c r="O3" s="1" t="s">
        <v>39</v>
      </c>
      <c r="P3" s="1" t="s">
        <v>40</v>
      </c>
      <c r="Q3" s="22" t="s">
        <v>41</v>
      </c>
      <c r="S3" s="23" t="n">
        <v>0</v>
      </c>
      <c r="T3" s="24" t="n">
        <f aca="false">H3*S3</f>
        <v>0</v>
      </c>
      <c r="U3" s="24" t="n">
        <f aca="false">T3-(T3*4.6%)</f>
        <v>0</v>
      </c>
      <c r="V3" s="5" t="n">
        <v>0</v>
      </c>
      <c r="W3" s="24" t="n">
        <f aca="false">I3-V3</f>
        <v>0</v>
      </c>
      <c r="X3" s="24" t="n">
        <f aca="false">W3-U3</f>
        <v>0</v>
      </c>
      <c r="Y3" s="23" t="n">
        <v>0</v>
      </c>
      <c r="Z3" s="24" t="n">
        <f aca="false">G3*Y3</f>
        <v>0</v>
      </c>
      <c r="AA3" s="23" t="n">
        <v>0</v>
      </c>
      <c r="AB3" s="24" t="n">
        <f aca="false">J3*AA3</f>
        <v>0</v>
      </c>
      <c r="AC3" s="24" t="n">
        <f aca="false">Z3+AB3</f>
        <v>0</v>
      </c>
      <c r="AD3" s="24" t="n">
        <f aca="false">AC3-(AC3*11.5%)</f>
        <v>0</v>
      </c>
      <c r="AE3" s="25" t="n">
        <v>0</v>
      </c>
      <c r="AF3" s="24" t="n">
        <f aca="false">I3+J3-AE3</f>
        <v>65</v>
      </c>
      <c r="AG3" s="24" t="n">
        <f aca="false">AF3-AD3</f>
        <v>65</v>
      </c>
      <c r="AH3" s="24" t="n">
        <f aca="false">J3+U3-AD3</f>
        <v>65</v>
      </c>
    </row>
    <row r="4" customFormat="false" ht="15" hidden="false" customHeight="false" outlineLevel="0" collapsed="false">
      <c r="A4" s="19" t="s">
        <v>42</v>
      </c>
      <c r="B4" s="20" t="s">
        <v>43</v>
      </c>
      <c r="C4" s="21" t="n">
        <v>44928</v>
      </c>
      <c r="D4" s="4" t="s">
        <v>44</v>
      </c>
      <c r="E4" s="1" t="s">
        <v>45</v>
      </c>
      <c r="F4" s="5" t="n">
        <v>3905</v>
      </c>
      <c r="G4" s="5" t="n">
        <v>90</v>
      </c>
      <c r="H4" s="5" t="n">
        <v>90</v>
      </c>
      <c r="I4" s="6" t="n">
        <v>100</v>
      </c>
      <c r="J4" s="7" t="n">
        <v>0</v>
      </c>
      <c r="K4" s="4" t="n">
        <v>44958</v>
      </c>
      <c r="L4" s="4" t="n">
        <v>45048</v>
      </c>
      <c r="M4" s="4" t="n">
        <v>44925</v>
      </c>
      <c r="N4" s="1" t="s">
        <v>46</v>
      </c>
      <c r="O4" s="1" t="s">
        <v>47</v>
      </c>
      <c r="P4" s="1" t="s">
        <v>48</v>
      </c>
      <c r="Q4" s="22" t="s">
        <v>41</v>
      </c>
      <c r="S4" s="23" t="n">
        <v>0.6</v>
      </c>
      <c r="T4" s="24" t="n">
        <f aca="false">I4*S4</f>
        <v>60</v>
      </c>
      <c r="U4" s="24" t="n">
        <f aca="false">T4-(T4*0%)</f>
        <v>60</v>
      </c>
      <c r="V4" s="5" t="n">
        <v>100</v>
      </c>
      <c r="W4" s="24" t="n">
        <f aca="false">I4-V4</f>
        <v>0</v>
      </c>
      <c r="X4" s="24" t="n">
        <f aca="false">W4-U4</f>
        <v>-60</v>
      </c>
      <c r="Y4" s="23" t="n">
        <v>0</v>
      </c>
      <c r="Z4" s="24" t="n">
        <f aca="false">G4*Y4</f>
        <v>0</v>
      </c>
      <c r="AA4" s="23" t="n">
        <v>0</v>
      </c>
      <c r="AB4" s="24" t="n">
        <f aca="false">J4*AA4</f>
        <v>0</v>
      </c>
      <c r="AC4" s="24" t="n">
        <f aca="false">Z4+AB4</f>
        <v>0</v>
      </c>
      <c r="AD4" s="24" t="n">
        <f aca="false">AC4-(AC4*11.5%)</f>
        <v>0</v>
      </c>
      <c r="AE4" s="25" t="n">
        <v>100</v>
      </c>
      <c r="AF4" s="24" t="n">
        <f aca="false">I4+J4-AE4</f>
        <v>0</v>
      </c>
      <c r="AG4" s="24" t="n">
        <f aca="false">AF4-AD4</f>
        <v>0</v>
      </c>
      <c r="AH4" s="24" t="n">
        <f aca="false">J4+U4-AD4</f>
        <v>60</v>
      </c>
    </row>
    <row r="5" customFormat="false" ht="15" hidden="false" customHeight="false" outlineLevel="0" collapsed="false">
      <c r="A5" s="19" t="s">
        <v>42</v>
      </c>
      <c r="B5" s="20" t="s">
        <v>49</v>
      </c>
      <c r="C5" s="21" t="n">
        <v>44928</v>
      </c>
      <c r="D5" s="4" t="s">
        <v>44</v>
      </c>
      <c r="E5" s="1" t="s">
        <v>50</v>
      </c>
      <c r="F5" s="5" t="n">
        <v>3905</v>
      </c>
      <c r="G5" s="5" t="n">
        <v>90</v>
      </c>
      <c r="H5" s="5" t="n">
        <v>90</v>
      </c>
      <c r="I5" s="6" t="n">
        <v>100</v>
      </c>
      <c r="J5" s="7" t="n">
        <v>0</v>
      </c>
      <c r="K5" s="4" t="n">
        <v>44958</v>
      </c>
      <c r="L5" s="4" t="n">
        <v>45048</v>
      </c>
      <c r="M5" s="4" t="n">
        <v>44925</v>
      </c>
      <c r="N5" s="1" t="s">
        <v>46</v>
      </c>
      <c r="O5" s="1" t="s">
        <v>47</v>
      </c>
      <c r="P5" s="1" t="s">
        <v>48</v>
      </c>
      <c r="Q5" s="22" t="s">
        <v>41</v>
      </c>
      <c r="S5" s="23" t="n">
        <v>0.6</v>
      </c>
      <c r="T5" s="24" t="n">
        <f aca="false">I5*S5</f>
        <v>60</v>
      </c>
      <c r="U5" s="24" t="n">
        <f aca="false">T5-(T5*0%)</f>
        <v>60</v>
      </c>
      <c r="V5" s="5" t="n">
        <v>100</v>
      </c>
      <c r="W5" s="24" t="n">
        <f aca="false">I5-V5</f>
        <v>0</v>
      </c>
      <c r="X5" s="24" t="n">
        <f aca="false">W5-U5</f>
        <v>-60</v>
      </c>
      <c r="Y5" s="23" t="n">
        <v>0</v>
      </c>
      <c r="Z5" s="24" t="n">
        <f aca="false">G5*Y5</f>
        <v>0</v>
      </c>
      <c r="AA5" s="23" t="n">
        <v>0</v>
      </c>
      <c r="AB5" s="24" t="n">
        <f aca="false">J5*AA5</f>
        <v>0</v>
      </c>
      <c r="AC5" s="24" t="n">
        <f aca="false">Z5+AB5</f>
        <v>0</v>
      </c>
      <c r="AD5" s="24" t="n">
        <f aca="false">AC5-(AC5*11.5%)</f>
        <v>0</v>
      </c>
      <c r="AE5" s="25" t="n">
        <v>100</v>
      </c>
      <c r="AF5" s="24" t="n">
        <f aca="false">I5+J5-AE5</f>
        <v>0</v>
      </c>
      <c r="AG5" s="24" t="n">
        <f aca="false">AF5-AD5</f>
        <v>0</v>
      </c>
      <c r="AH5" s="24" t="n">
        <f aca="false">J5+U5-AD5</f>
        <v>60</v>
      </c>
    </row>
    <row r="6" customFormat="false" ht="15" hidden="false" customHeight="false" outlineLevel="0" collapsed="false">
      <c r="A6" s="19" t="s">
        <v>51</v>
      </c>
      <c r="B6" s="20" t="s">
        <v>52</v>
      </c>
      <c r="C6" s="21" t="n">
        <v>44928</v>
      </c>
      <c r="D6" s="4" t="s">
        <v>53</v>
      </c>
      <c r="E6" s="1" t="s">
        <v>54</v>
      </c>
      <c r="F6" s="5" t="n">
        <v>39000</v>
      </c>
      <c r="G6" s="5" t="n">
        <v>311.11</v>
      </c>
      <c r="H6" s="5" t="n">
        <v>373.33</v>
      </c>
      <c r="I6" s="6" t="n">
        <v>420</v>
      </c>
      <c r="J6" s="7" t="n">
        <v>0</v>
      </c>
      <c r="K6" s="4" t="n">
        <v>44915</v>
      </c>
      <c r="L6" s="4" t="n">
        <v>45280</v>
      </c>
      <c r="M6" s="4" t="n">
        <v>44925</v>
      </c>
      <c r="N6" s="1" t="s">
        <v>55</v>
      </c>
      <c r="O6" s="1" t="s">
        <v>56</v>
      </c>
      <c r="P6" s="1" t="s">
        <v>40</v>
      </c>
      <c r="Q6" s="22" t="s">
        <v>57</v>
      </c>
      <c r="S6" s="23" t="n">
        <v>0.22</v>
      </c>
      <c r="T6" s="24" t="n">
        <f aca="false">H6*S6</f>
        <v>82.1326</v>
      </c>
      <c r="U6" s="24" t="n">
        <f aca="false">T6-(T6*4.6%)</f>
        <v>78.3545004</v>
      </c>
      <c r="V6" s="5" t="n">
        <v>0</v>
      </c>
      <c r="W6" s="24" t="n">
        <f aca="false">I6-V6</f>
        <v>420</v>
      </c>
      <c r="X6" s="24" t="n">
        <f aca="false">W6-U6</f>
        <v>341.6454996</v>
      </c>
      <c r="Y6" s="23" t="n">
        <v>0.12</v>
      </c>
      <c r="Z6" s="24" t="n">
        <f aca="false">G6*Y6</f>
        <v>37.3332</v>
      </c>
      <c r="AA6" s="23" t="n">
        <v>0</v>
      </c>
      <c r="AB6" s="24" t="n">
        <f aca="false">J6*AA6</f>
        <v>0</v>
      </c>
      <c r="AC6" s="24" t="n">
        <f aca="false">Z6+AB6</f>
        <v>37.3332</v>
      </c>
      <c r="AD6" s="24" t="n">
        <f aca="false">AC6-(AC6*11.5%)</f>
        <v>33.039882</v>
      </c>
      <c r="AE6" s="25" t="n">
        <v>386.96</v>
      </c>
      <c r="AF6" s="24" t="n">
        <f aca="false">I6+J6-AE6</f>
        <v>33.04</v>
      </c>
      <c r="AG6" s="24" t="n">
        <f aca="false">AF6-AD6</f>
        <v>0.000118000000021823</v>
      </c>
      <c r="AH6" s="24" t="n">
        <f aca="false">J6+U6-AD6</f>
        <v>45.3146184</v>
      </c>
    </row>
    <row r="7" customFormat="false" ht="15" hidden="false" customHeight="false" outlineLevel="0" collapsed="false">
      <c r="A7" s="19" t="s">
        <v>42</v>
      </c>
      <c r="B7" s="20" t="s">
        <v>58</v>
      </c>
      <c r="C7" s="21" t="n">
        <v>44928</v>
      </c>
      <c r="D7" s="4" t="s">
        <v>59</v>
      </c>
      <c r="E7" s="1" t="s">
        <v>60</v>
      </c>
      <c r="F7" s="5" t="n">
        <v>3840</v>
      </c>
      <c r="G7" s="5" t="n">
        <v>476</v>
      </c>
      <c r="H7" s="5" t="n">
        <v>476</v>
      </c>
      <c r="I7" s="6" t="n">
        <v>576</v>
      </c>
      <c r="J7" s="7" t="n">
        <v>0</v>
      </c>
      <c r="K7" s="4" t="n">
        <v>44928</v>
      </c>
      <c r="L7" s="4" t="n">
        <v>47118</v>
      </c>
      <c r="M7" s="4" t="n">
        <v>44925</v>
      </c>
      <c r="N7" s="1" t="s">
        <v>46</v>
      </c>
      <c r="O7" s="1" t="s">
        <v>61</v>
      </c>
      <c r="P7" s="1" t="s">
        <v>62</v>
      </c>
      <c r="Q7" s="22" t="s">
        <v>57</v>
      </c>
      <c r="S7" s="23" t="n">
        <v>0.6</v>
      </c>
      <c r="T7" s="24" t="n">
        <f aca="false">I7*S7</f>
        <v>345.6</v>
      </c>
      <c r="U7" s="24" t="n">
        <f aca="false">T7-(T7*0%)</f>
        <v>345.6</v>
      </c>
      <c r="V7" s="5" t="n">
        <v>576</v>
      </c>
      <c r="W7" s="24" t="n">
        <f aca="false">I7-V7</f>
        <v>0</v>
      </c>
      <c r="X7" s="24" t="n">
        <f aca="false">W7-U7</f>
        <v>-345.6</v>
      </c>
      <c r="Y7" s="23" t="n">
        <v>0.12</v>
      </c>
      <c r="Z7" s="24" t="n">
        <f aca="false">G7*Y7</f>
        <v>57.12</v>
      </c>
      <c r="AA7" s="23" t="n">
        <v>0</v>
      </c>
      <c r="AB7" s="24" t="n">
        <f aca="false">J7*AA7</f>
        <v>0</v>
      </c>
      <c r="AC7" s="24" t="n">
        <f aca="false">Z7+AB7</f>
        <v>57.12</v>
      </c>
      <c r="AD7" s="24" t="n">
        <f aca="false">AC7-(AC7*0%)</f>
        <v>57.12</v>
      </c>
      <c r="AE7" s="25" t="n">
        <v>576</v>
      </c>
      <c r="AF7" s="24" t="n">
        <f aca="false">I7+J7-AE7</f>
        <v>0</v>
      </c>
      <c r="AG7" s="24" t="n">
        <f aca="false">AF7-AD7</f>
        <v>-57.12</v>
      </c>
      <c r="AH7" s="24" t="n">
        <f aca="false">J7+U7-AD7</f>
        <v>288.48</v>
      </c>
    </row>
    <row r="8" customFormat="false" ht="15" hidden="false" customHeight="false" outlineLevel="0" collapsed="false">
      <c r="A8" s="19" t="s">
        <v>42</v>
      </c>
      <c r="B8" s="20" t="s">
        <v>63</v>
      </c>
      <c r="C8" s="21" t="n">
        <v>44928</v>
      </c>
      <c r="D8" s="4" t="s">
        <v>64</v>
      </c>
      <c r="E8" s="1" t="s">
        <v>60</v>
      </c>
      <c r="F8" s="5" t="n">
        <v>3600</v>
      </c>
      <c r="G8" s="5" t="n">
        <v>450</v>
      </c>
      <c r="H8" s="5" t="n">
        <v>450</v>
      </c>
      <c r="I8" s="6" t="n">
        <v>540</v>
      </c>
      <c r="J8" s="7" t="n">
        <v>0</v>
      </c>
      <c r="K8" s="4" t="n">
        <v>44928</v>
      </c>
      <c r="L8" s="4" t="n">
        <v>47118</v>
      </c>
      <c r="M8" s="4" t="n">
        <v>44925</v>
      </c>
      <c r="N8" s="1" t="s">
        <v>46</v>
      </c>
      <c r="O8" s="1" t="s">
        <v>61</v>
      </c>
      <c r="P8" s="1" t="s">
        <v>62</v>
      </c>
      <c r="Q8" s="22" t="s">
        <v>57</v>
      </c>
      <c r="S8" s="23" t="n">
        <v>0.6</v>
      </c>
      <c r="T8" s="24" t="n">
        <f aca="false">I8*S8</f>
        <v>324</v>
      </c>
      <c r="U8" s="24" t="n">
        <f aca="false">T8-(T8*0%)</f>
        <v>324</v>
      </c>
      <c r="V8" s="5" t="n">
        <v>540</v>
      </c>
      <c r="W8" s="24" t="n">
        <f aca="false">I8-V8</f>
        <v>0</v>
      </c>
      <c r="X8" s="24" t="n">
        <f aca="false">W8-U8</f>
        <v>-324</v>
      </c>
      <c r="Y8" s="23" t="n">
        <v>0.12</v>
      </c>
      <c r="Z8" s="24" t="n">
        <f aca="false">G8*Y8</f>
        <v>54</v>
      </c>
      <c r="AA8" s="23" t="n">
        <v>0</v>
      </c>
      <c r="AB8" s="24" t="n">
        <f aca="false">J8*AA8</f>
        <v>0</v>
      </c>
      <c r="AC8" s="24" t="n">
        <f aca="false">Z8+AB8</f>
        <v>54</v>
      </c>
      <c r="AD8" s="24" t="n">
        <f aca="false">AC8-(AC8*0%)</f>
        <v>54</v>
      </c>
      <c r="AE8" s="25" t="n">
        <v>540</v>
      </c>
      <c r="AF8" s="24" t="n">
        <f aca="false">I8+J8-AE8</f>
        <v>0</v>
      </c>
      <c r="AG8" s="24" t="n">
        <f aca="false">AF8-AD8</f>
        <v>-54</v>
      </c>
      <c r="AH8" s="24" t="n">
        <f aca="false">J8+U8-AD8</f>
        <v>270</v>
      </c>
    </row>
    <row r="9" customFormat="false" ht="15" hidden="false" customHeight="false" outlineLevel="0" collapsed="false">
      <c r="A9" s="19" t="s">
        <v>42</v>
      </c>
      <c r="B9" s="20" t="s">
        <v>65</v>
      </c>
      <c r="C9" s="21" t="n">
        <v>44929</v>
      </c>
      <c r="D9" s="4" t="s">
        <v>66</v>
      </c>
      <c r="E9" s="1" t="s">
        <v>67</v>
      </c>
      <c r="F9" s="5" t="n">
        <v>3905</v>
      </c>
      <c r="G9" s="5" t="n">
        <v>90</v>
      </c>
      <c r="H9" s="5" t="n">
        <v>90</v>
      </c>
      <c r="I9" s="6" t="n">
        <v>100</v>
      </c>
      <c r="J9" s="7" t="n">
        <v>0</v>
      </c>
      <c r="K9" s="4" t="n">
        <v>44962</v>
      </c>
      <c r="L9" s="4" t="n">
        <v>45052</v>
      </c>
      <c r="M9" s="4"/>
      <c r="N9" s="1" t="s">
        <v>68</v>
      </c>
      <c r="O9" s="1" t="s">
        <v>69</v>
      </c>
      <c r="P9" s="1" t="s">
        <v>48</v>
      </c>
      <c r="Q9" s="22" t="s">
        <v>41</v>
      </c>
      <c r="S9" s="23" t="n">
        <v>0.6</v>
      </c>
      <c r="T9" s="24" t="n">
        <f aca="false">I9*S9</f>
        <v>60</v>
      </c>
      <c r="U9" s="24" t="n">
        <f aca="false">T9-(T9*0%)</f>
        <v>60</v>
      </c>
      <c r="V9" s="5" t="n">
        <v>100</v>
      </c>
      <c r="W9" s="24" t="n">
        <f aca="false">I9-V9</f>
        <v>0</v>
      </c>
      <c r="X9" s="24" t="n">
        <f aca="false">W9-U9</f>
        <v>-60</v>
      </c>
      <c r="Y9" s="23" t="n">
        <v>0</v>
      </c>
      <c r="Z9" s="24" t="n">
        <f aca="false">G9*Y9</f>
        <v>0</v>
      </c>
      <c r="AA9" s="23" t="n">
        <v>0</v>
      </c>
      <c r="AB9" s="24" t="n">
        <f aca="false">J9*AA9</f>
        <v>0</v>
      </c>
      <c r="AC9" s="24" t="n">
        <f aca="false">Z9+AB9</f>
        <v>0</v>
      </c>
      <c r="AD9" s="24" t="n">
        <f aca="false">AC9-(AC9*11.5%)</f>
        <v>0</v>
      </c>
      <c r="AE9" s="25" t="n">
        <v>100</v>
      </c>
      <c r="AF9" s="24" t="n">
        <f aca="false">I9+J9-AE9</f>
        <v>0</v>
      </c>
      <c r="AG9" s="24" t="n">
        <f aca="false">AF9-AD9</f>
        <v>0</v>
      </c>
      <c r="AH9" s="24" t="n">
        <f aca="false">J9+U9-AD9</f>
        <v>60</v>
      </c>
    </row>
    <row r="10" customFormat="false" ht="15" hidden="false" customHeight="false" outlineLevel="0" collapsed="false">
      <c r="A10" s="19" t="s">
        <v>42</v>
      </c>
      <c r="B10" s="20" t="s">
        <v>70</v>
      </c>
      <c r="C10" s="21" t="n">
        <v>44929</v>
      </c>
      <c r="D10" s="4" t="s">
        <v>71</v>
      </c>
      <c r="E10" s="1" t="s">
        <v>72</v>
      </c>
      <c r="F10" s="5" t="n">
        <v>3905</v>
      </c>
      <c r="G10" s="5" t="n">
        <v>110</v>
      </c>
      <c r="H10" s="5" t="n">
        <v>110</v>
      </c>
      <c r="I10" s="6" t="n">
        <v>120</v>
      </c>
      <c r="J10" s="7" t="n">
        <v>0</v>
      </c>
      <c r="K10" s="4" t="n">
        <v>44958</v>
      </c>
      <c r="L10" s="4" t="n">
        <v>45048</v>
      </c>
      <c r="M10" s="4" t="n">
        <v>44937</v>
      </c>
      <c r="N10" s="1" t="s">
        <v>46</v>
      </c>
      <c r="O10" s="1" t="s">
        <v>73</v>
      </c>
      <c r="P10" s="1" t="s">
        <v>48</v>
      </c>
      <c r="Q10" s="22" t="s">
        <v>41</v>
      </c>
      <c r="S10" s="23" t="n">
        <v>0.6</v>
      </c>
      <c r="T10" s="24" t="n">
        <f aca="false">I10*S10</f>
        <v>72</v>
      </c>
      <c r="U10" s="24" t="n">
        <f aca="false">T10-(T10*0%)</f>
        <v>72</v>
      </c>
      <c r="V10" s="5" t="n">
        <v>120</v>
      </c>
      <c r="W10" s="24" t="n">
        <f aca="false">I10-V10</f>
        <v>0</v>
      </c>
      <c r="X10" s="24" t="n">
        <f aca="false">W10-U10</f>
        <v>-72</v>
      </c>
      <c r="Y10" s="23" t="n">
        <v>0.45</v>
      </c>
      <c r="Z10" s="24" t="n">
        <f aca="false">G10*Y10</f>
        <v>49.5</v>
      </c>
      <c r="AA10" s="23" t="n">
        <v>0</v>
      </c>
      <c r="AB10" s="24" t="n">
        <f aca="false">J10*AA10</f>
        <v>0</v>
      </c>
      <c r="AC10" s="24" t="n">
        <f aca="false">Z10+AB10</f>
        <v>49.5</v>
      </c>
      <c r="AD10" s="24" t="n">
        <f aca="false">AC10-(AC10*4.6%)</f>
        <v>47.223</v>
      </c>
      <c r="AE10" s="25" t="n">
        <v>120</v>
      </c>
      <c r="AF10" s="24" t="n">
        <f aca="false">I10+J10-AE10</f>
        <v>0</v>
      </c>
      <c r="AG10" s="24" t="n">
        <f aca="false">AF10-AD10</f>
        <v>-47.223</v>
      </c>
      <c r="AH10" s="24" t="n">
        <f aca="false">J10+U10-AD10</f>
        <v>24.777</v>
      </c>
    </row>
    <row r="11" customFormat="false" ht="15" hidden="false" customHeight="false" outlineLevel="0" collapsed="false">
      <c r="A11" s="19" t="s">
        <v>74</v>
      </c>
      <c r="B11" s="20" t="s">
        <v>75</v>
      </c>
      <c r="C11" s="21" t="n">
        <v>44929</v>
      </c>
      <c r="D11" s="4" t="s">
        <v>76</v>
      </c>
      <c r="E11" s="1" t="s">
        <v>77</v>
      </c>
      <c r="F11" s="5" t="n">
        <v>3905</v>
      </c>
      <c r="G11" s="5" t="n">
        <v>108.74</v>
      </c>
      <c r="H11" s="5" t="n">
        <v>108.74</v>
      </c>
      <c r="I11" s="6" t="n">
        <v>113</v>
      </c>
      <c r="J11" s="7" t="n">
        <v>0</v>
      </c>
      <c r="K11" s="4" t="n">
        <v>45017</v>
      </c>
      <c r="L11" s="4" t="n">
        <v>45106</v>
      </c>
      <c r="M11" s="4" t="n">
        <v>44895</v>
      </c>
      <c r="N11" s="1" t="s">
        <v>78</v>
      </c>
      <c r="O11" s="1" t="s">
        <v>79</v>
      </c>
      <c r="P11" s="1" t="s">
        <v>80</v>
      </c>
      <c r="Q11" s="22" t="s">
        <v>41</v>
      </c>
      <c r="S11" s="23" t="n">
        <v>0.4</v>
      </c>
      <c r="T11" s="24" t="n">
        <f aca="false">H11*S11</f>
        <v>43.496</v>
      </c>
      <c r="U11" s="24" t="n">
        <f aca="false">T11-(T11*0%)</f>
        <v>43.496</v>
      </c>
      <c r="V11" s="5" t="n">
        <v>0</v>
      </c>
      <c r="W11" s="24" t="n">
        <f aca="false">I11-V11</f>
        <v>113</v>
      </c>
      <c r="X11" s="24" t="n">
        <f aca="false">W11-U11</f>
        <v>69.504</v>
      </c>
      <c r="Y11" s="23" t="n">
        <v>0.3</v>
      </c>
      <c r="Z11" s="24" t="n">
        <f aca="false">G11*Y11</f>
        <v>32.622</v>
      </c>
      <c r="AA11" s="23" t="n">
        <v>0</v>
      </c>
      <c r="AB11" s="24" t="n">
        <f aca="false">J11*AA11</f>
        <v>0</v>
      </c>
      <c r="AC11" s="24" t="n">
        <f aca="false">Z11+AB11</f>
        <v>32.622</v>
      </c>
      <c r="AD11" s="24" t="n">
        <f aca="false">AC11-(AC11*11.5%)</f>
        <v>28.87047</v>
      </c>
      <c r="AE11" s="25" t="n">
        <v>113</v>
      </c>
      <c r="AF11" s="24" t="n">
        <f aca="false">I11+J11-AE11</f>
        <v>0</v>
      </c>
      <c r="AG11" s="24" t="n">
        <f aca="false">AF11-AD11</f>
        <v>-28.87047</v>
      </c>
      <c r="AH11" s="24" t="n">
        <f aca="false">J11+U11-AD11</f>
        <v>14.62553</v>
      </c>
    </row>
    <row r="12" customFormat="false" ht="15" hidden="false" customHeight="false" outlineLevel="0" collapsed="false">
      <c r="A12" s="19" t="s">
        <v>51</v>
      </c>
      <c r="B12" s="20" t="s">
        <v>81</v>
      </c>
      <c r="C12" s="21" t="n">
        <v>44929</v>
      </c>
      <c r="D12" s="4" t="s">
        <v>82</v>
      </c>
      <c r="E12" s="1" t="s">
        <v>83</v>
      </c>
      <c r="F12" s="5" t="n">
        <v>400</v>
      </c>
      <c r="G12" s="5" t="n">
        <v>37.04</v>
      </c>
      <c r="H12" s="5" t="n">
        <v>44.44</v>
      </c>
      <c r="I12" s="6" t="n">
        <v>50</v>
      </c>
      <c r="J12" s="7" t="n">
        <v>0</v>
      </c>
      <c r="K12" s="4" t="n">
        <v>44932</v>
      </c>
      <c r="L12" s="4" t="n">
        <v>45113</v>
      </c>
      <c r="M12" s="4" t="n">
        <v>44928</v>
      </c>
      <c r="N12" s="1" t="s">
        <v>78</v>
      </c>
      <c r="O12" s="1" t="s">
        <v>84</v>
      </c>
      <c r="P12" s="1" t="s">
        <v>85</v>
      </c>
      <c r="Q12" s="22" t="s">
        <v>57</v>
      </c>
      <c r="S12" s="23" t="n">
        <v>0.18</v>
      </c>
      <c r="T12" s="24" t="n">
        <f aca="false">H12*S12</f>
        <v>7.9992</v>
      </c>
      <c r="U12" s="24" t="n">
        <f aca="false">T12-(T12*4.6%)</f>
        <v>7.6312368</v>
      </c>
      <c r="V12" s="5" t="n">
        <v>0</v>
      </c>
      <c r="W12" s="24" t="n">
        <f aca="false">I12-V12</f>
        <v>50</v>
      </c>
      <c r="X12" s="24" t="n">
        <f aca="false">W12-U12</f>
        <v>42.3687632</v>
      </c>
      <c r="Y12" s="23" t="n">
        <v>0.12</v>
      </c>
      <c r="Z12" s="24" t="n">
        <f aca="false">G12*Y12</f>
        <v>4.4448</v>
      </c>
      <c r="AA12" s="23" t="n">
        <v>0</v>
      </c>
      <c r="AB12" s="24" t="n">
        <f aca="false">J12*AA12</f>
        <v>0</v>
      </c>
      <c r="AC12" s="24" t="n">
        <f aca="false">Z12+AB12</f>
        <v>4.4448</v>
      </c>
      <c r="AD12" s="24" t="n">
        <f aca="false">AC12-(AC12*11.5%)</f>
        <v>3.933648</v>
      </c>
      <c r="AE12" s="25" t="n">
        <v>50</v>
      </c>
      <c r="AF12" s="24" t="n">
        <f aca="false">I12+J12-AE12</f>
        <v>0</v>
      </c>
      <c r="AG12" s="24" t="n">
        <f aca="false">AF12-AD12</f>
        <v>-3.933648</v>
      </c>
      <c r="AH12" s="24" t="n">
        <f aca="false">J12+U12-AD12</f>
        <v>3.6975888</v>
      </c>
    </row>
    <row r="13" customFormat="false" ht="15" hidden="false" customHeight="false" outlineLevel="0" collapsed="false">
      <c r="A13" s="19" t="s">
        <v>42</v>
      </c>
      <c r="B13" s="20" t="s">
        <v>86</v>
      </c>
      <c r="C13" s="21" t="n">
        <v>44929</v>
      </c>
      <c r="D13" s="4" t="s">
        <v>87</v>
      </c>
      <c r="E13" s="1" t="s">
        <v>88</v>
      </c>
      <c r="F13" s="5" t="n">
        <v>5640</v>
      </c>
      <c r="G13" s="5" t="n">
        <v>474</v>
      </c>
      <c r="H13" s="5" t="n">
        <v>474</v>
      </c>
      <c r="I13" s="6" t="n">
        <v>564</v>
      </c>
      <c r="J13" s="7" t="n">
        <v>0</v>
      </c>
      <c r="K13" s="4" t="n">
        <v>44958</v>
      </c>
      <c r="L13" s="4" t="n">
        <v>46419</v>
      </c>
      <c r="M13" s="4" t="n">
        <v>44936</v>
      </c>
      <c r="N13" s="1" t="s">
        <v>89</v>
      </c>
      <c r="O13" s="1" t="s">
        <v>90</v>
      </c>
      <c r="P13" s="1" t="s">
        <v>62</v>
      </c>
      <c r="Q13" s="22" t="s">
        <v>41</v>
      </c>
      <c r="S13" s="23" t="n">
        <v>0.6</v>
      </c>
      <c r="T13" s="24" t="n">
        <f aca="false">I13*S13</f>
        <v>338.4</v>
      </c>
      <c r="U13" s="24" t="n">
        <f aca="false">T13-(T13*0%)</f>
        <v>338.4</v>
      </c>
      <c r="V13" s="5" t="n">
        <v>564</v>
      </c>
      <c r="W13" s="24" t="n">
        <f aca="false">I13-V13</f>
        <v>0</v>
      </c>
      <c r="X13" s="24" t="n">
        <f aca="false">W13-U13</f>
        <v>-338.4</v>
      </c>
      <c r="Y13" s="23" t="n">
        <v>0.25</v>
      </c>
      <c r="Z13" s="24" t="n">
        <f aca="false">I13*Y13</f>
        <v>141</v>
      </c>
      <c r="AA13" s="23" t="n">
        <v>0</v>
      </c>
      <c r="AB13" s="24" t="n">
        <f aca="false">J13*AA13</f>
        <v>0</v>
      </c>
      <c r="AC13" s="24" t="n">
        <f aca="false">Z13+AB13</f>
        <v>141</v>
      </c>
      <c r="AD13" s="24" t="n">
        <f aca="false">AC13-(AC13*0%)</f>
        <v>141</v>
      </c>
      <c r="AE13" s="25" t="n">
        <v>564</v>
      </c>
      <c r="AF13" s="24" t="n">
        <f aca="false">I13+J13-AE13</f>
        <v>0</v>
      </c>
      <c r="AG13" s="24" t="n">
        <f aca="false">AF13-AD13</f>
        <v>-141</v>
      </c>
      <c r="AH13" s="24" t="n">
        <f aca="false">J13+U13-AD13</f>
        <v>197.4</v>
      </c>
    </row>
    <row r="14" customFormat="false" ht="15" hidden="false" customHeight="false" outlineLevel="0" collapsed="false">
      <c r="A14" s="19" t="s">
        <v>91</v>
      </c>
      <c r="B14" s="20" t="s">
        <v>92</v>
      </c>
      <c r="C14" s="21" t="n">
        <v>44929</v>
      </c>
      <c r="D14" s="4" t="s">
        <v>93</v>
      </c>
      <c r="E14" s="1" t="s">
        <v>94</v>
      </c>
      <c r="F14" s="5" t="n">
        <v>5702.4</v>
      </c>
      <c r="G14" s="5" t="n">
        <v>78.7</v>
      </c>
      <c r="H14" s="5" t="n">
        <v>94.44</v>
      </c>
      <c r="I14" s="6" t="n">
        <v>230</v>
      </c>
      <c r="J14" s="7" t="n">
        <v>50</v>
      </c>
      <c r="K14" s="4" t="n">
        <v>44929</v>
      </c>
      <c r="L14" s="4" t="n">
        <v>45294</v>
      </c>
      <c r="M14" s="4" t="n">
        <v>44928</v>
      </c>
      <c r="N14" s="26" t="s">
        <v>95</v>
      </c>
      <c r="O14" s="1" t="s">
        <v>96</v>
      </c>
      <c r="P14" s="1" t="s">
        <v>97</v>
      </c>
      <c r="Q14" s="22" t="s">
        <v>98</v>
      </c>
      <c r="S14" s="23" t="n">
        <v>0.2</v>
      </c>
      <c r="T14" s="24" t="n">
        <f aca="false">H14*S14</f>
        <v>18.888</v>
      </c>
      <c r="U14" s="24" t="n">
        <f aca="false">T14-(T14*4.6%)</f>
        <v>18.019152</v>
      </c>
      <c r="V14" s="5" t="n">
        <v>0</v>
      </c>
      <c r="W14" s="24" t="n">
        <f aca="false">I14-V14</f>
        <v>230</v>
      </c>
      <c r="X14" s="24" t="n">
        <f aca="false">W14-U14</f>
        <v>211.980848</v>
      </c>
      <c r="Y14" s="23" t="n">
        <v>0</v>
      </c>
      <c r="Z14" s="24" t="n">
        <f aca="false">G14*Y14</f>
        <v>0</v>
      </c>
      <c r="AA14" s="23" t="n">
        <v>0</v>
      </c>
      <c r="AB14" s="24" t="n">
        <f aca="false">J14*AA14</f>
        <v>0</v>
      </c>
      <c r="AC14" s="24" t="n">
        <f aca="false">Z14+AB14</f>
        <v>0</v>
      </c>
      <c r="AD14" s="24" t="n">
        <f aca="false">AC14-(AC14*11.5%)</f>
        <v>0</v>
      </c>
      <c r="AE14" s="25" t="n">
        <v>280</v>
      </c>
      <c r="AF14" s="24" t="n">
        <f aca="false">I14+J14-AE14</f>
        <v>0</v>
      </c>
      <c r="AG14" s="24" t="n">
        <f aca="false">AF14-AD14</f>
        <v>0</v>
      </c>
      <c r="AH14" s="24" t="n">
        <f aca="false">J14+U14-AD14</f>
        <v>68.019152</v>
      </c>
    </row>
    <row r="15" customFormat="false" ht="15" hidden="false" customHeight="false" outlineLevel="0" collapsed="false">
      <c r="A15" s="19" t="s">
        <v>91</v>
      </c>
      <c r="B15" s="20" t="s">
        <v>99</v>
      </c>
      <c r="C15" s="21" t="n">
        <v>44929</v>
      </c>
      <c r="D15" s="4" t="s">
        <v>100</v>
      </c>
      <c r="E15" s="1" t="s">
        <v>101</v>
      </c>
      <c r="F15" s="5" t="n">
        <v>42342</v>
      </c>
      <c r="G15" s="5" t="n">
        <v>467.59</v>
      </c>
      <c r="H15" s="5" t="n">
        <v>561.11</v>
      </c>
      <c r="I15" s="6" t="n">
        <v>755</v>
      </c>
      <c r="J15" s="7" t="n">
        <v>185</v>
      </c>
      <c r="K15" s="4" t="n">
        <v>44922</v>
      </c>
      <c r="L15" s="4" t="n">
        <v>45805</v>
      </c>
      <c r="M15" s="4" t="n">
        <v>45289</v>
      </c>
      <c r="N15" s="1" t="s">
        <v>102</v>
      </c>
      <c r="O15" s="1" t="s">
        <v>103</v>
      </c>
      <c r="P15" s="1" t="s">
        <v>104</v>
      </c>
      <c r="Q15" s="22" t="s">
        <v>57</v>
      </c>
      <c r="R15" s="1" t="s">
        <v>105</v>
      </c>
      <c r="S15" s="23" t="n">
        <v>0.2</v>
      </c>
      <c r="T15" s="24" t="n">
        <f aca="false">H15*S15</f>
        <v>112.222</v>
      </c>
      <c r="U15" s="24" t="n">
        <f aca="false">T15-(T15*4.6%)</f>
        <v>107.059788</v>
      </c>
      <c r="V15" s="5" t="n">
        <v>0</v>
      </c>
      <c r="W15" s="24" t="n">
        <f aca="false">I15-V15</f>
        <v>755</v>
      </c>
      <c r="X15" s="24" t="n">
        <f aca="false">W15-U15</f>
        <v>647.940212</v>
      </c>
      <c r="Y15" s="23" t="n">
        <v>0.12</v>
      </c>
      <c r="Z15" s="24" t="n">
        <f aca="false">G15*Y15</f>
        <v>56.1108</v>
      </c>
      <c r="AA15" s="23" t="n">
        <v>0.2</v>
      </c>
      <c r="AB15" s="24" t="n">
        <f aca="false">J15*AA15</f>
        <v>37</v>
      </c>
      <c r="AC15" s="24" t="n">
        <f aca="false">Z15+AB15</f>
        <v>93.1108</v>
      </c>
      <c r="AD15" s="24" t="n">
        <f aca="false">AC15-(AC15*11.5%)</f>
        <v>82.403058</v>
      </c>
      <c r="AE15" s="25" t="n">
        <v>940</v>
      </c>
      <c r="AF15" s="24" t="n">
        <f aca="false">I15+J15-AE15</f>
        <v>0</v>
      </c>
      <c r="AG15" s="24" t="n">
        <f aca="false">AF15-AD15</f>
        <v>-82.403058</v>
      </c>
      <c r="AH15" s="24" t="n">
        <f aca="false">J15+U15-AD15</f>
        <v>209.65673</v>
      </c>
    </row>
    <row r="16" customFormat="false" ht="15" hidden="false" customHeight="false" outlineLevel="0" collapsed="false">
      <c r="A16" s="19" t="s">
        <v>42</v>
      </c>
      <c r="B16" s="20" t="s">
        <v>106</v>
      </c>
      <c r="C16" s="21" t="n">
        <v>44930</v>
      </c>
      <c r="D16" s="4" t="s">
        <v>107</v>
      </c>
      <c r="E16" s="1" t="s">
        <v>108</v>
      </c>
      <c r="F16" s="5" t="n">
        <v>3905</v>
      </c>
      <c r="G16" s="5" t="n">
        <v>110</v>
      </c>
      <c r="H16" s="5" t="n">
        <v>110</v>
      </c>
      <c r="I16" s="6" t="n">
        <v>120</v>
      </c>
      <c r="J16" s="7" t="n">
        <v>0</v>
      </c>
      <c r="K16" s="4" t="n">
        <v>44958</v>
      </c>
      <c r="L16" s="4" t="n">
        <v>45048</v>
      </c>
      <c r="M16" s="4" t="n">
        <v>44937</v>
      </c>
      <c r="N16" s="1" t="s">
        <v>46</v>
      </c>
      <c r="O16" s="1" t="s">
        <v>73</v>
      </c>
      <c r="P16" s="1" t="s">
        <v>48</v>
      </c>
      <c r="Q16" s="22" t="s">
        <v>41</v>
      </c>
      <c r="S16" s="23" t="n">
        <v>0.6</v>
      </c>
      <c r="T16" s="24" t="n">
        <f aca="false">I16*S16</f>
        <v>72</v>
      </c>
      <c r="U16" s="24" t="n">
        <f aca="false">T16-(T16*0%)</f>
        <v>72</v>
      </c>
      <c r="V16" s="5" t="n">
        <v>120</v>
      </c>
      <c r="W16" s="24" t="n">
        <f aca="false">I16-V16</f>
        <v>0</v>
      </c>
      <c r="X16" s="24" t="n">
        <f aca="false">W16-U16</f>
        <v>-72</v>
      </c>
      <c r="Y16" s="23" t="n">
        <v>0.45</v>
      </c>
      <c r="Z16" s="24" t="n">
        <f aca="false">G16*Y16</f>
        <v>49.5</v>
      </c>
      <c r="AA16" s="23" t="n">
        <v>0</v>
      </c>
      <c r="AB16" s="24" t="n">
        <f aca="false">J16*AA16</f>
        <v>0</v>
      </c>
      <c r="AC16" s="24" t="n">
        <f aca="false">Z16+AB16</f>
        <v>49.5</v>
      </c>
      <c r="AD16" s="24" t="n">
        <f aca="false">AC16-(AC16*4.6%)</f>
        <v>47.223</v>
      </c>
      <c r="AE16" s="25" t="n">
        <v>120</v>
      </c>
      <c r="AF16" s="24" t="n">
        <f aca="false">I16+J16-AE16</f>
        <v>0</v>
      </c>
      <c r="AG16" s="24" t="n">
        <f aca="false">AF16-AD16</f>
        <v>-47.223</v>
      </c>
      <c r="AH16" s="24" t="n">
        <f aca="false">J16+U16-AD16</f>
        <v>24.777</v>
      </c>
    </row>
    <row r="17" customFormat="false" ht="15" hidden="false" customHeight="false" outlineLevel="0" collapsed="false">
      <c r="A17" s="19" t="s">
        <v>109</v>
      </c>
      <c r="B17" s="20" t="s">
        <v>110</v>
      </c>
      <c r="C17" s="21" t="n">
        <v>44930</v>
      </c>
      <c r="D17" s="4" t="s">
        <v>111</v>
      </c>
      <c r="E17" s="1" t="s">
        <v>112</v>
      </c>
      <c r="F17" s="5" t="n">
        <v>0</v>
      </c>
      <c r="G17" s="5" t="n">
        <v>626.26</v>
      </c>
      <c r="H17" s="5" t="n">
        <v>688.88</v>
      </c>
      <c r="I17" s="6" t="n">
        <v>775</v>
      </c>
      <c r="J17" s="7" t="n">
        <v>0</v>
      </c>
      <c r="K17" s="4" t="n">
        <v>44927</v>
      </c>
      <c r="L17" s="4" t="n">
        <v>45107</v>
      </c>
      <c r="M17" s="4" t="n">
        <v>44918</v>
      </c>
      <c r="N17" s="1" t="s">
        <v>78</v>
      </c>
      <c r="O17" s="1" t="s">
        <v>103</v>
      </c>
      <c r="P17" s="1" t="s">
        <v>113</v>
      </c>
      <c r="Q17" s="22" t="s">
        <v>57</v>
      </c>
      <c r="R17" s="1" t="s">
        <v>114</v>
      </c>
      <c r="S17" s="23" t="n">
        <v>0.22</v>
      </c>
      <c r="T17" s="24" t="n">
        <f aca="false">G17*S17</f>
        <v>137.7772</v>
      </c>
      <c r="U17" s="24" t="n">
        <f aca="false">T17-(T17*4.6%)</f>
        <v>131.4394488</v>
      </c>
      <c r="V17" s="5" t="n">
        <v>775</v>
      </c>
      <c r="W17" s="24" t="n">
        <f aca="false">I17-V17</f>
        <v>0</v>
      </c>
      <c r="X17" s="24" t="n">
        <f aca="false">W17-U17</f>
        <v>-131.4394488</v>
      </c>
      <c r="Y17" s="23" t="n">
        <v>0.12</v>
      </c>
      <c r="Z17" s="24" t="n">
        <f aca="false">G17*Y17</f>
        <v>75.1512</v>
      </c>
      <c r="AA17" s="23" t="n">
        <v>0</v>
      </c>
      <c r="AB17" s="24" t="n">
        <f aca="false">J17*AA17</f>
        <v>0</v>
      </c>
      <c r="AC17" s="24" t="n">
        <f aca="false">Z17+AB17</f>
        <v>75.1512</v>
      </c>
      <c r="AD17" s="24" t="n">
        <f aca="false">AC17-(AC17*4.6%)</f>
        <v>71.6942448</v>
      </c>
      <c r="AE17" s="25" t="n">
        <v>775</v>
      </c>
      <c r="AF17" s="24" t="n">
        <f aca="false">I17+J17-AE17</f>
        <v>0</v>
      </c>
      <c r="AG17" s="24" t="n">
        <f aca="false">AF17-AD17</f>
        <v>-71.6942448</v>
      </c>
      <c r="AH17" s="24" t="n">
        <f aca="false">J17+U17-AD17</f>
        <v>59.745204</v>
      </c>
    </row>
    <row r="18" customFormat="false" ht="15" hidden="false" customHeight="false" outlineLevel="0" collapsed="false">
      <c r="A18" s="19" t="s">
        <v>109</v>
      </c>
      <c r="B18" s="20" t="s">
        <v>115</v>
      </c>
      <c r="C18" s="21" t="n">
        <v>44930</v>
      </c>
      <c r="D18" s="4" t="s">
        <v>116</v>
      </c>
      <c r="E18" s="1" t="s">
        <v>117</v>
      </c>
      <c r="F18" s="5" t="n">
        <v>0</v>
      </c>
      <c r="G18" s="5" t="n">
        <v>887.27</v>
      </c>
      <c r="H18" s="5" t="n">
        <v>976</v>
      </c>
      <c r="I18" s="6" t="n">
        <v>1098</v>
      </c>
      <c r="J18" s="7" t="n">
        <v>0</v>
      </c>
      <c r="K18" s="4" t="n">
        <v>43958</v>
      </c>
      <c r="L18" s="4" t="n">
        <v>45052</v>
      </c>
      <c r="M18" s="4" t="n">
        <v>44902</v>
      </c>
      <c r="N18" s="1" t="s">
        <v>78</v>
      </c>
      <c r="O18" s="1" t="s">
        <v>118</v>
      </c>
      <c r="P18" s="1" t="s">
        <v>113</v>
      </c>
      <c r="Q18" s="22" t="s">
        <v>57</v>
      </c>
      <c r="S18" s="23" t="n">
        <v>0.22</v>
      </c>
      <c r="T18" s="24" t="n">
        <f aca="false">G18*S18</f>
        <v>195.1994</v>
      </c>
      <c r="U18" s="24" t="n">
        <f aca="false">T18-(T18*4.6%)</f>
        <v>186.2202276</v>
      </c>
      <c r="V18" s="5" t="n">
        <v>1098</v>
      </c>
      <c r="W18" s="24" t="n">
        <f aca="false">I18-V18</f>
        <v>0</v>
      </c>
      <c r="X18" s="24" t="n">
        <f aca="false">W18-U18</f>
        <v>-186.2202276</v>
      </c>
      <c r="Y18" s="23" t="n">
        <v>0</v>
      </c>
      <c r="Z18" s="24" t="n">
        <f aca="false">G18*Y18</f>
        <v>0</v>
      </c>
      <c r="AA18" s="23" t="n">
        <v>0</v>
      </c>
      <c r="AB18" s="24" t="n">
        <f aca="false">J18*AA18</f>
        <v>0</v>
      </c>
      <c r="AC18" s="24" t="n">
        <f aca="false">Z18+AB18</f>
        <v>0</v>
      </c>
      <c r="AD18" s="24" t="n">
        <f aca="false">AC18-(AC18*11.5%)</f>
        <v>0</v>
      </c>
      <c r="AE18" s="25" t="n">
        <v>1098</v>
      </c>
      <c r="AF18" s="24" t="n">
        <f aca="false">I18+J18-AE18</f>
        <v>0</v>
      </c>
      <c r="AG18" s="24" t="n">
        <f aca="false">AF18-AD18</f>
        <v>0</v>
      </c>
      <c r="AH18" s="24" t="n">
        <f aca="false">J18+U18-AD18</f>
        <v>186.2202276</v>
      </c>
    </row>
    <row r="19" customFormat="false" ht="15" hidden="false" customHeight="false" outlineLevel="0" collapsed="false">
      <c r="A19" s="19" t="s">
        <v>42</v>
      </c>
      <c r="B19" s="20" t="s">
        <v>119</v>
      </c>
      <c r="C19" s="21" t="n">
        <v>44930</v>
      </c>
      <c r="D19" s="4" t="s">
        <v>120</v>
      </c>
      <c r="E19" s="1" t="s">
        <v>121</v>
      </c>
      <c r="F19" s="5" t="n">
        <v>3905</v>
      </c>
      <c r="G19" s="5" t="n">
        <v>90</v>
      </c>
      <c r="H19" s="5" t="n">
        <v>90</v>
      </c>
      <c r="I19" s="6" t="n">
        <v>100</v>
      </c>
      <c r="J19" s="7" t="n">
        <v>0</v>
      </c>
      <c r="K19" s="4" t="n">
        <v>44971</v>
      </c>
      <c r="L19" s="4" t="n">
        <v>45061</v>
      </c>
      <c r="M19" s="4" t="n">
        <v>44930</v>
      </c>
      <c r="N19" s="1" t="s">
        <v>89</v>
      </c>
      <c r="O19" s="1" t="s">
        <v>96</v>
      </c>
      <c r="P19" s="1" t="s">
        <v>48</v>
      </c>
      <c r="Q19" s="22" t="s">
        <v>57</v>
      </c>
      <c r="S19" s="23" t="n">
        <v>0.6</v>
      </c>
      <c r="T19" s="24" t="n">
        <f aca="false">I19*S19</f>
        <v>60</v>
      </c>
      <c r="U19" s="24" t="n">
        <f aca="false">T19-(T19*0%)</f>
        <v>60</v>
      </c>
      <c r="V19" s="5" t="n">
        <v>100</v>
      </c>
      <c r="W19" s="24" t="n">
        <f aca="false">I19-V19</f>
        <v>0</v>
      </c>
      <c r="X19" s="24" t="n">
        <f aca="false">W19-U19</f>
        <v>-60</v>
      </c>
      <c r="Y19" s="23" t="n">
        <v>0</v>
      </c>
      <c r="Z19" s="24" t="n">
        <f aca="false">G19*Y19</f>
        <v>0</v>
      </c>
      <c r="AA19" s="23" t="n">
        <v>0</v>
      </c>
      <c r="AB19" s="24" t="n">
        <f aca="false">J19*AA19</f>
        <v>0</v>
      </c>
      <c r="AC19" s="24" t="n">
        <f aca="false">Z19+AB19</f>
        <v>0</v>
      </c>
      <c r="AD19" s="24" t="n">
        <f aca="false">AC19-(AC19*11.5%)</f>
        <v>0</v>
      </c>
      <c r="AE19" s="25" t="n">
        <v>100</v>
      </c>
      <c r="AF19" s="24" t="n">
        <f aca="false">I19+J19-AE19</f>
        <v>0</v>
      </c>
      <c r="AG19" s="24" t="n">
        <f aca="false">AF19-AD19</f>
        <v>0</v>
      </c>
      <c r="AH19" s="24" t="n">
        <f aca="false">J19+U19-AD19</f>
        <v>60</v>
      </c>
    </row>
    <row r="20" customFormat="false" ht="15" hidden="false" customHeight="false" outlineLevel="0" collapsed="false">
      <c r="A20" s="19" t="s">
        <v>122</v>
      </c>
      <c r="B20" s="20" t="s">
        <v>123</v>
      </c>
      <c r="C20" s="21" t="n">
        <v>44930</v>
      </c>
      <c r="D20" s="4" t="s">
        <v>124</v>
      </c>
      <c r="E20" s="1" t="s">
        <v>125</v>
      </c>
      <c r="F20" s="5" t="n">
        <v>20000</v>
      </c>
      <c r="G20" s="5" t="n">
        <v>0</v>
      </c>
      <c r="H20" s="5" t="n">
        <v>0</v>
      </c>
      <c r="I20" s="6" t="n">
        <v>0</v>
      </c>
      <c r="J20" s="7" t="n">
        <v>0</v>
      </c>
      <c r="K20" s="4" t="n">
        <v>44907</v>
      </c>
      <c r="L20" s="4" t="n">
        <v>45214</v>
      </c>
      <c r="M20" s="4" t="n">
        <v>44928</v>
      </c>
      <c r="N20" s="1" t="s">
        <v>126</v>
      </c>
      <c r="O20" s="1" t="s">
        <v>127</v>
      </c>
      <c r="P20" s="1" t="s">
        <v>128</v>
      </c>
      <c r="Q20" s="22" t="s">
        <v>57</v>
      </c>
      <c r="S20" s="23" t="n">
        <v>0</v>
      </c>
      <c r="T20" s="24" t="n">
        <f aca="false">H20*S20</f>
        <v>0</v>
      </c>
      <c r="U20" s="24" t="n">
        <f aca="false">T20-(T20*4.6%)</f>
        <v>0</v>
      </c>
      <c r="V20" s="5" t="n">
        <v>0</v>
      </c>
      <c r="W20" s="24" t="n">
        <f aca="false">I20-V20</f>
        <v>0</v>
      </c>
      <c r="X20" s="24" t="n">
        <f aca="false">W20-U20</f>
        <v>0</v>
      </c>
      <c r="Y20" s="23" t="n">
        <v>0</v>
      </c>
      <c r="Z20" s="24" t="n">
        <f aca="false">G20*Y20</f>
        <v>0</v>
      </c>
      <c r="AA20" s="23" t="n">
        <v>0</v>
      </c>
      <c r="AB20" s="24" t="n">
        <f aca="false">J20*AA20</f>
        <v>0</v>
      </c>
      <c r="AC20" s="24" t="n">
        <f aca="false">Z20+AB20</f>
        <v>0</v>
      </c>
      <c r="AD20" s="24" t="n">
        <f aca="false">AC20-(AC20*11.5%)</f>
        <v>0</v>
      </c>
      <c r="AE20" s="25" t="n">
        <v>0</v>
      </c>
      <c r="AF20" s="24" t="n">
        <f aca="false">I20+J20-AE20</f>
        <v>0</v>
      </c>
      <c r="AG20" s="24" t="n">
        <f aca="false">AF20-AD20</f>
        <v>0</v>
      </c>
      <c r="AH20" s="24" t="n">
        <f aca="false">J20+U20-AD20</f>
        <v>0</v>
      </c>
    </row>
    <row r="21" customFormat="false" ht="15" hidden="false" customHeight="false" outlineLevel="0" collapsed="false">
      <c r="A21" s="19" t="s">
        <v>122</v>
      </c>
      <c r="B21" s="20" t="s">
        <v>129</v>
      </c>
      <c r="C21" s="21" t="n">
        <v>44930</v>
      </c>
      <c r="D21" s="4" t="s">
        <v>130</v>
      </c>
      <c r="E21" s="1" t="s">
        <v>131</v>
      </c>
      <c r="F21" s="5" t="n">
        <v>272400</v>
      </c>
      <c r="G21" s="5" t="n">
        <v>11624.26</v>
      </c>
      <c r="H21" s="5" t="n">
        <v>15111.11</v>
      </c>
      <c r="I21" s="6" t="n">
        <v>17000</v>
      </c>
      <c r="J21" s="7" t="n">
        <v>15680</v>
      </c>
      <c r="K21" s="4" t="n">
        <v>44917</v>
      </c>
      <c r="L21" s="4" t="n">
        <v>45838</v>
      </c>
      <c r="M21" s="4" t="s">
        <v>132</v>
      </c>
      <c r="N21" s="1" t="s">
        <v>133</v>
      </c>
      <c r="O21" s="1" t="s">
        <v>134</v>
      </c>
      <c r="P21" s="1" t="s">
        <v>135</v>
      </c>
      <c r="Q21" s="22" t="s">
        <v>57</v>
      </c>
      <c r="S21" s="23" t="n">
        <v>0.12</v>
      </c>
      <c r="T21" s="24" t="n">
        <f aca="false">G21*S21</f>
        <v>1394.9112</v>
      </c>
      <c r="U21" s="24" t="n">
        <f aca="false">T21-(T21*4.6%)</f>
        <v>1330.7452848</v>
      </c>
      <c r="V21" s="5" t="n">
        <v>17000</v>
      </c>
      <c r="W21" s="24" t="n">
        <f aca="false">I21-V21</f>
        <v>0</v>
      </c>
      <c r="X21" s="24" t="n">
        <f aca="false">W21-U21</f>
        <v>-1330.7452848</v>
      </c>
      <c r="Y21" s="23" t="n">
        <v>0.1200075</v>
      </c>
      <c r="Z21" s="24" t="n">
        <f aca="false">G21*Y21</f>
        <v>1394.99838195</v>
      </c>
      <c r="AA21" s="23" t="n">
        <v>0.6</v>
      </c>
      <c r="AB21" s="24" t="n">
        <f aca="false">J21*AA21</f>
        <v>9408</v>
      </c>
      <c r="AC21" s="24" t="n">
        <f aca="false">Z21+AB21</f>
        <v>10802.99838195</v>
      </c>
      <c r="AD21" s="24" t="n">
        <f aca="false">AC21-(AC21*0%)</f>
        <v>10802.99838195</v>
      </c>
      <c r="AE21" s="25" t="n">
        <v>32680</v>
      </c>
      <c r="AF21" s="24" t="n">
        <f aca="false">I21+J21-AE21</f>
        <v>0</v>
      </c>
      <c r="AG21" s="24" t="n">
        <f aca="false">AF21-AD21</f>
        <v>-10802.99838195</v>
      </c>
      <c r="AH21" s="24" t="n">
        <f aca="false">J21+U21-AD21</f>
        <v>6207.74690285</v>
      </c>
    </row>
    <row r="22" customFormat="false" ht="15" hidden="false" customHeight="false" outlineLevel="0" collapsed="false">
      <c r="A22" s="19" t="s">
        <v>109</v>
      </c>
      <c r="B22" s="20" t="s">
        <v>136</v>
      </c>
      <c r="C22" s="21" t="n">
        <v>44930</v>
      </c>
      <c r="D22" s="4" t="s">
        <v>137</v>
      </c>
      <c r="E22" s="1" t="s">
        <v>138</v>
      </c>
      <c r="F22" s="5" t="n">
        <v>187496.31</v>
      </c>
      <c r="G22" s="5" t="n">
        <v>3789.89</v>
      </c>
      <c r="H22" s="5" t="n">
        <v>4168.88</v>
      </c>
      <c r="I22" s="6" t="n">
        <v>4690</v>
      </c>
      <c r="J22" s="7" t="n">
        <v>2310</v>
      </c>
      <c r="K22" s="4" t="n">
        <v>44931</v>
      </c>
      <c r="L22" s="4" t="n">
        <v>45841</v>
      </c>
      <c r="M22" s="4" t="s">
        <v>139</v>
      </c>
      <c r="N22" s="1" t="s">
        <v>140</v>
      </c>
      <c r="O22" s="1" t="s">
        <v>134</v>
      </c>
      <c r="P22" s="1" t="s">
        <v>141</v>
      </c>
      <c r="Q22" s="22" t="s">
        <v>57</v>
      </c>
      <c r="S22" s="23" t="n">
        <v>0.22</v>
      </c>
      <c r="T22" s="24" t="n">
        <f aca="false">G22*S22</f>
        <v>833.7758</v>
      </c>
      <c r="U22" s="24" t="n">
        <f aca="false">T22-(T22*4.6%)</f>
        <v>795.4221132</v>
      </c>
      <c r="V22" s="5" t="n">
        <v>3894.58</v>
      </c>
      <c r="W22" s="24" t="n">
        <f aca="false">I22-V22</f>
        <v>795.42</v>
      </c>
      <c r="X22" s="24" t="n">
        <f aca="false">W22-U22</f>
        <v>-0.00211319999993975</v>
      </c>
      <c r="Y22" s="23" t="n">
        <v>0.12</v>
      </c>
      <c r="Z22" s="24" t="n">
        <f aca="false">G22*Y22</f>
        <v>454.7868</v>
      </c>
      <c r="AA22" s="23" t="n">
        <v>0.6</v>
      </c>
      <c r="AB22" s="24" t="n">
        <f aca="false">J22*AA22</f>
        <v>1386</v>
      </c>
      <c r="AC22" s="24" t="n">
        <f aca="false">Z22+AB22</f>
        <v>1840.7868</v>
      </c>
      <c r="AD22" s="24" t="n">
        <f aca="false">AC22-(AC22*0%)</f>
        <v>1840.7868</v>
      </c>
      <c r="AE22" s="25" t="n">
        <v>7000</v>
      </c>
      <c r="AF22" s="24" t="n">
        <f aca="false">I22+J22-AE22</f>
        <v>0</v>
      </c>
      <c r="AG22" s="24" t="n">
        <f aca="false">AF22-AD22</f>
        <v>-1840.7868</v>
      </c>
      <c r="AH22" s="24" t="n">
        <f aca="false">J22+U22-AD22</f>
        <v>1264.6353132</v>
      </c>
    </row>
    <row r="23" customFormat="false" ht="15" hidden="false" customHeight="false" outlineLevel="0" collapsed="false">
      <c r="A23" s="19" t="s">
        <v>42</v>
      </c>
      <c r="B23" s="20" t="s">
        <v>142</v>
      </c>
      <c r="C23" s="21" t="n">
        <v>44931</v>
      </c>
      <c r="D23" s="4" t="s">
        <v>143</v>
      </c>
      <c r="E23" s="1" t="s">
        <v>144</v>
      </c>
      <c r="F23" s="5" t="n">
        <v>6120</v>
      </c>
      <c r="G23" s="5" t="n">
        <v>828</v>
      </c>
      <c r="H23" s="5" t="n">
        <v>828</v>
      </c>
      <c r="I23" s="6" t="n">
        <v>918</v>
      </c>
      <c r="J23" s="7" t="n">
        <v>0</v>
      </c>
      <c r="K23" s="4" t="n">
        <v>44931</v>
      </c>
      <c r="L23" s="4" t="n">
        <v>47122</v>
      </c>
      <c r="M23" s="4" t="n">
        <v>44931</v>
      </c>
      <c r="N23" s="1" t="s">
        <v>46</v>
      </c>
      <c r="O23" s="1" t="s">
        <v>96</v>
      </c>
      <c r="P23" s="1" t="s">
        <v>62</v>
      </c>
      <c r="Q23" s="22" t="s">
        <v>57</v>
      </c>
      <c r="S23" s="23" t="n">
        <v>0.6</v>
      </c>
      <c r="T23" s="24" t="n">
        <f aca="false">I23*S23</f>
        <v>550.8</v>
      </c>
      <c r="U23" s="24" t="n">
        <f aca="false">T23-(T23*0%)</f>
        <v>550.8</v>
      </c>
      <c r="V23" s="5" t="n">
        <v>918</v>
      </c>
      <c r="W23" s="24" t="n">
        <f aca="false">I23-V23</f>
        <v>0</v>
      </c>
      <c r="X23" s="24" t="n">
        <f aca="false">W23-U23</f>
        <v>-550.8</v>
      </c>
      <c r="Y23" s="23" t="n">
        <v>0</v>
      </c>
      <c r="Z23" s="24" t="n">
        <f aca="false">G23*Y23</f>
        <v>0</v>
      </c>
      <c r="AA23" s="23" t="n">
        <v>0</v>
      </c>
      <c r="AB23" s="24" t="n">
        <f aca="false">J23*AA23</f>
        <v>0</v>
      </c>
      <c r="AC23" s="24" t="n">
        <f aca="false">Z23+AB23</f>
        <v>0</v>
      </c>
      <c r="AD23" s="24" t="n">
        <f aca="false">AC23-(AC23*11.5%)</f>
        <v>0</v>
      </c>
      <c r="AE23" s="25" t="n">
        <v>918</v>
      </c>
      <c r="AF23" s="24" t="n">
        <f aca="false">I23+J23-AE23</f>
        <v>0</v>
      </c>
      <c r="AG23" s="24" t="n">
        <f aca="false">AF23-AD23</f>
        <v>0</v>
      </c>
      <c r="AH23" s="24" t="n">
        <f aca="false">J23+U23-AD23</f>
        <v>550.8</v>
      </c>
    </row>
    <row r="24" customFormat="false" ht="15" hidden="false" customHeight="false" outlineLevel="0" collapsed="false">
      <c r="A24" s="19" t="s">
        <v>34</v>
      </c>
      <c r="B24" s="20" t="s">
        <v>35</v>
      </c>
      <c r="C24" s="21" t="n">
        <v>44933</v>
      </c>
      <c r="D24" s="4" t="s">
        <v>145</v>
      </c>
      <c r="E24" s="1" t="s">
        <v>37</v>
      </c>
      <c r="F24" s="5" t="n">
        <v>24000</v>
      </c>
      <c r="G24" s="5" t="n">
        <v>0</v>
      </c>
      <c r="H24" s="5" t="n">
        <v>0</v>
      </c>
      <c r="I24" s="6" t="n">
        <v>0</v>
      </c>
      <c r="J24" s="7" t="n">
        <v>65</v>
      </c>
      <c r="K24" s="4" t="n">
        <v>44933</v>
      </c>
      <c r="L24" s="4" t="n">
        <v>45298</v>
      </c>
      <c r="M24" s="4" t="n">
        <v>44986</v>
      </c>
      <c r="N24" s="1" t="s">
        <v>146</v>
      </c>
      <c r="O24" s="1" t="s">
        <v>39</v>
      </c>
      <c r="P24" s="1" t="s">
        <v>40</v>
      </c>
      <c r="Q24" s="22" t="s">
        <v>41</v>
      </c>
      <c r="S24" s="23" t="n">
        <v>0</v>
      </c>
      <c r="T24" s="24" t="n">
        <f aca="false">H24*S24</f>
        <v>0</v>
      </c>
      <c r="U24" s="24" t="n">
        <f aca="false">T24-(T24*4.6%)</f>
        <v>0</v>
      </c>
      <c r="V24" s="5" t="n">
        <v>0</v>
      </c>
      <c r="W24" s="24" t="n">
        <f aca="false">I24-V24</f>
        <v>0</v>
      </c>
      <c r="X24" s="24" t="n">
        <f aca="false">W24-U24</f>
        <v>0</v>
      </c>
      <c r="Y24" s="23" t="n">
        <v>0</v>
      </c>
      <c r="Z24" s="24" t="n">
        <f aca="false">G24*Y24</f>
        <v>0</v>
      </c>
      <c r="AA24" s="23" t="n">
        <v>0</v>
      </c>
      <c r="AB24" s="24" t="n">
        <f aca="false">J24*AA24</f>
        <v>0</v>
      </c>
      <c r="AC24" s="24" t="n">
        <f aca="false">Z24+AB24</f>
        <v>0</v>
      </c>
      <c r="AD24" s="24" t="n">
        <f aca="false">AC24-(AC24*11.5%)</f>
        <v>0</v>
      </c>
      <c r="AE24" s="25" t="n">
        <v>0</v>
      </c>
      <c r="AF24" s="24" t="n">
        <f aca="false">I24+J24-AE24</f>
        <v>65</v>
      </c>
      <c r="AG24" s="24" t="n">
        <f aca="false">AF24-AD24</f>
        <v>65</v>
      </c>
      <c r="AH24" s="24" t="n">
        <f aca="false">J24+U24-AD24</f>
        <v>65</v>
      </c>
    </row>
    <row r="25" customFormat="false" ht="15" hidden="false" customHeight="false" outlineLevel="0" collapsed="false">
      <c r="A25" s="27" t="s">
        <v>34</v>
      </c>
      <c r="B25" s="28" t="s">
        <v>35</v>
      </c>
      <c r="C25" s="21" t="n">
        <v>44935</v>
      </c>
      <c r="D25" s="4" t="s">
        <v>147</v>
      </c>
      <c r="E25" s="1" t="s">
        <v>37</v>
      </c>
      <c r="F25" s="5" t="n">
        <v>14000</v>
      </c>
      <c r="G25" s="5" t="n">
        <v>0</v>
      </c>
      <c r="H25" s="5" t="n">
        <v>0</v>
      </c>
      <c r="I25" s="6" t="n">
        <v>0</v>
      </c>
      <c r="J25" s="7" t="n">
        <v>65</v>
      </c>
      <c r="K25" s="4" t="n">
        <v>44935</v>
      </c>
      <c r="L25" s="4" t="n">
        <v>45300</v>
      </c>
      <c r="M25" s="29"/>
      <c r="N25" s="30" t="s">
        <v>148</v>
      </c>
      <c r="O25" s="1" t="s">
        <v>39</v>
      </c>
      <c r="P25" s="1" t="s">
        <v>40</v>
      </c>
      <c r="Q25" s="22" t="s">
        <v>41</v>
      </c>
      <c r="S25" s="23" t="n">
        <v>0</v>
      </c>
      <c r="T25" s="24" t="n">
        <f aca="false">H25*S25</f>
        <v>0</v>
      </c>
      <c r="U25" s="24" t="n">
        <f aca="false">T25-(T25*4.6%)</f>
        <v>0</v>
      </c>
      <c r="V25" s="5" t="n">
        <v>0</v>
      </c>
      <c r="W25" s="24" t="n">
        <f aca="false">I25-V25</f>
        <v>0</v>
      </c>
      <c r="X25" s="24" t="n">
        <f aca="false">W25-U25</f>
        <v>0</v>
      </c>
      <c r="Y25" s="23" t="n">
        <v>0</v>
      </c>
      <c r="Z25" s="24" t="n">
        <f aca="false">G25*Y25</f>
        <v>0</v>
      </c>
      <c r="AA25" s="23" t="n">
        <v>0</v>
      </c>
      <c r="AB25" s="24" t="n">
        <f aca="false">J25*AA25</f>
        <v>0</v>
      </c>
      <c r="AC25" s="24" t="n">
        <f aca="false">Z25+AB25</f>
        <v>0</v>
      </c>
      <c r="AD25" s="24" t="n">
        <f aca="false">AC25-(AC25*11.5%)</f>
        <v>0</v>
      </c>
      <c r="AE25" s="25" t="n">
        <v>0</v>
      </c>
      <c r="AF25" s="24" t="n">
        <f aca="false">I25+J25-AE25</f>
        <v>65</v>
      </c>
      <c r="AG25" s="24" t="n">
        <f aca="false">AF25-AD25</f>
        <v>65</v>
      </c>
      <c r="AH25" s="24" t="n">
        <f aca="false">J25+U25-AD25</f>
        <v>65</v>
      </c>
    </row>
    <row r="26" customFormat="false" ht="15" hidden="false" customHeight="false" outlineLevel="0" collapsed="false">
      <c r="A26" s="19" t="s">
        <v>34</v>
      </c>
      <c r="B26" s="20" t="s">
        <v>35</v>
      </c>
      <c r="C26" s="21" t="n">
        <v>44935</v>
      </c>
      <c r="D26" s="4" t="s">
        <v>149</v>
      </c>
      <c r="E26" s="1" t="s">
        <v>37</v>
      </c>
      <c r="F26" s="5" t="n">
        <v>14000</v>
      </c>
      <c r="G26" s="5" t="n">
        <v>0</v>
      </c>
      <c r="H26" s="5" t="n">
        <v>0</v>
      </c>
      <c r="I26" s="6" t="n">
        <v>0</v>
      </c>
      <c r="J26" s="7" t="n">
        <v>65</v>
      </c>
      <c r="K26" s="4" t="n">
        <v>44935</v>
      </c>
      <c r="L26" s="4" t="n">
        <v>45300</v>
      </c>
      <c r="M26" s="4" t="n">
        <v>44986</v>
      </c>
      <c r="N26" s="1" t="s">
        <v>150</v>
      </c>
      <c r="O26" s="1" t="s">
        <v>39</v>
      </c>
      <c r="P26" s="1" t="s">
        <v>40</v>
      </c>
      <c r="Q26" s="22" t="s">
        <v>41</v>
      </c>
      <c r="S26" s="23" t="n">
        <v>0</v>
      </c>
      <c r="T26" s="24" t="n">
        <f aca="false">H26*S26</f>
        <v>0</v>
      </c>
      <c r="U26" s="24" t="n">
        <f aca="false">T26-(T26*4.6%)</f>
        <v>0</v>
      </c>
      <c r="V26" s="5" t="n">
        <v>0</v>
      </c>
      <c r="W26" s="24" t="n">
        <f aca="false">I26-V26</f>
        <v>0</v>
      </c>
      <c r="X26" s="24" t="n">
        <f aca="false">W26-U26</f>
        <v>0</v>
      </c>
      <c r="Y26" s="23" t="n">
        <v>0</v>
      </c>
      <c r="Z26" s="24" t="n">
        <f aca="false">G26*Y26</f>
        <v>0</v>
      </c>
      <c r="AA26" s="23" t="n">
        <v>0</v>
      </c>
      <c r="AB26" s="24" t="n">
        <f aca="false">J26*AA26</f>
        <v>0</v>
      </c>
      <c r="AC26" s="24" t="n">
        <f aca="false">Z26+AB26</f>
        <v>0</v>
      </c>
      <c r="AD26" s="24" t="n">
        <f aca="false">AC26-(AC26*11.5%)</f>
        <v>0</v>
      </c>
      <c r="AE26" s="25" t="n">
        <v>0</v>
      </c>
      <c r="AF26" s="24" t="n">
        <f aca="false">I26+J26-AE26</f>
        <v>65</v>
      </c>
      <c r="AG26" s="24" t="n">
        <f aca="false">AF26-AD26</f>
        <v>65</v>
      </c>
      <c r="AH26" s="24" t="n">
        <f aca="false">J26+U26-AD26</f>
        <v>65</v>
      </c>
    </row>
    <row r="27" customFormat="false" ht="15" hidden="false" customHeight="false" outlineLevel="0" collapsed="false">
      <c r="A27" s="19" t="s">
        <v>42</v>
      </c>
      <c r="B27" s="20" t="s">
        <v>151</v>
      </c>
      <c r="C27" s="21" t="n">
        <v>44935</v>
      </c>
      <c r="D27" s="4" t="s">
        <v>152</v>
      </c>
      <c r="E27" s="1" t="s">
        <v>153</v>
      </c>
      <c r="F27" s="5" t="n">
        <v>3905</v>
      </c>
      <c r="G27" s="5" t="n">
        <v>70</v>
      </c>
      <c r="H27" s="5" t="n">
        <v>70</v>
      </c>
      <c r="I27" s="6" t="n">
        <v>80</v>
      </c>
      <c r="J27" s="7" t="n">
        <v>0</v>
      </c>
      <c r="K27" s="4" t="n">
        <v>44971</v>
      </c>
      <c r="L27" s="4" t="n">
        <v>45001</v>
      </c>
      <c r="M27" s="4" t="n">
        <v>44935</v>
      </c>
      <c r="N27" s="26" t="s">
        <v>89</v>
      </c>
      <c r="O27" s="1" t="s">
        <v>154</v>
      </c>
      <c r="P27" s="1" t="s">
        <v>48</v>
      </c>
      <c r="Q27" s="22" t="s">
        <v>41</v>
      </c>
      <c r="S27" s="23" t="n">
        <v>0.6</v>
      </c>
      <c r="T27" s="24" t="n">
        <f aca="false">I27*S27</f>
        <v>48</v>
      </c>
      <c r="U27" s="24" t="n">
        <f aca="false">T27-(T27*0%)</f>
        <v>48</v>
      </c>
      <c r="V27" s="5" t="n">
        <v>80</v>
      </c>
      <c r="W27" s="24" t="n">
        <f aca="false">I27-V27</f>
        <v>0</v>
      </c>
      <c r="X27" s="24" t="n">
        <f aca="false">W27-U27</f>
        <v>-48</v>
      </c>
      <c r="Y27" s="23" t="n">
        <v>0</v>
      </c>
      <c r="Z27" s="24" t="n">
        <f aca="false">G27*Y27</f>
        <v>0</v>
      </c>
      <c r="AA27" s="23" t="n">
        <v>0</v>
      </c>
      <c r="AB27" s="24" t="n">
        <f aca="false">J27*AA27</f>
        <v>0</v>
      </c>
      <c r="AC27" s="24" t="n">
        <f aca="false">Z27+AB27</f>
        <v>0</v>
      </c>
      <c r="AD27" s="24" t="n">
        <f aca="false">AC27-(AC27*11.5%)</f>
        <v>0</v>
      </c>
      <c r="AE27" s="25" t="n">
        <v>80</v>
      </c>
      <c r="AF27" s="24" t="n">
        <f aca="false">I27+J27-AE27</f>
        <v>0</v>
      </c>
      <c r="AG27" s="24" t="n">
        <f aca="false">AF27-AD27</f>
        <v>0</v>
      </c>
      <c r="AH27" s="24" t="n">
        <f aca="false">J27+U27-AD27</f>
        <v>48</v>
      </c>
    </row>
    <row r="28" customFormat="false" ht="15" hidden="false" customHeight="false" outlineLevel="0" collapsed="false">
      <c r="A28" s="31" t="s">
        <v>42</v>
      </c>
      <c r="B28" s="32" t="s">
        <v>155</v>
      </c>
      <c r="C28" s="33" t="n">
        <v>44935</v>
      </c>
      <c r="D28" s="34" t="s">
        <v>156</v>
      </c>
      <c r="E28" s="35" t="s">
        <v>157</v>
      </c>
      <c r="F28" s="36" t="n">
        <v>0</v>
      </c>
      <c r="G28" s="36" t="n">
        <v>0</v>
      </c>
      <c r="H28" s="36" t="n">
        <v>0</v>
      </c>
      <c r="I28" s="37" t="n">
        <v>0</v>
      </c>
      <c r="J28" s="38" t="n">
        <v>0</v>
      </c>
      <c r="K28" s="34" t="n">
        <v>44962</v>
      </c>
      <c r="L28" s="34" t="n">
        <v>45052</v>
      </c>
      <c r="M28" s="34" t="n">
        <v>44935</v>
      </c>
      <c r="N28" s="35" t="s">
        <v>89</v>
      </c>
      <c r="O28" s="35" t="s">
        <v>69</v>
      </c>
      <c r="P28" s="35" t="s">
        <v>48</v>
      </c>
      <c r="Q28" s="39" t="s">
        <v>41</v>
      </c>
      <c r="R28" s="35"/>
      <c r="S28" s="40" t="n">
        <v>0.6</v>
      </c>
      <c r="T28" s="41" t="n">
        <f aca="false">I28*S28</f>
        <v>0</v>
      </c>
      <c r="U28" s="41" t="n">
        <f aca="false">T28-(T28*0%)</f>
        <v>0</v>
      </c>
      <c r="V28" s="36" t="n">
        <v>100</v>
      </c>
      <c r="W28" s="41" t="n">
        <f aca="false">I28-V28</f>
        <v>-100</v>
      </c>
      <c r="X28" s="41" t="n">
        <f aca="false">W28-U28</f>
        <v>-100</v>
      </c>
      <c r="Y28" s="40" t="n">
        <v>0</v>
      </c>
      <c r="Z28" s="41" t="n">
        <f aca="false">G28*Y28</f>
        <v>0</v>
      </c>
      <c r="AA28" s="40" t="n">
        <v>0</v>
      </c>
      <c r="AB28" s="41" t="n">
        <f aca="false">J28*AA28</f>
        <v>0</v>
      </c>
      <c r="AC28" s="41" t="n">
        <f aca="false">Z28+AB28</f>
        <v>0</v>
      </c>
      <c r="AD28" s="41" t="n">
        <f aca="false">AC28-(AC28*11.5%)</f>
        <v>0</v>
      </c>
      <c r="AE28" s="42" t="n">
        <v>100</v>
      </c>
      <c r="AF28" s="41" t="n">
        <f aca="false">I28+J28-AE28</f>
        <v>-100</v>
      </c>
      <c r="AG28" s="41" t="n">
        <f aca="false">AF28-AD28</f>
        <v>-100</v>
      </c>
      <c r="AH28" s="41" t="n">
        <f aca="false">J28+U28-AD28</f>
        <v>0</v>
      </c>
    </row>
    <row r="29" customFormat="false" ht="15" hidden="false" customHeight="false" outlineLevel="0" collapsed="false">
      <c r="A29" s="31" t="s">
        <v>42</v>
      </c>
      <c r="B29" s="32" t="s">
        <v>158</v>
      </c>
      <c r="C29" s="33" t="n">
        <v>44935</v>
      </c>
      <c r="D29" s="34" t="s">
        <v>159</v>
      </c>
      <c r="E29" s="35" t="s">
        <v>160</v>
      </c>
      <c r="F29" s="36" t="n">
        <v>0</v>
      </c>
      <c r="G29" s="36" t="n">
        <v>0</v>
      </c>
      <c r="H29" s="36" t="n">
        <v>0</v>
      </c>
      <c r="I29" s="37" t="n">
        <v>0</v>
      </c>
      <c r="J29" s="38" t="n">
        <v>0</v>
      </c>
      <c r="K29" s="34" t="n">
        <v>45010</v>
      </c>
      <c r="L29" s="34" t="n">
        <v>45100</v>
      </c>
      <c r="M29" s="34"/>
      <c r="N29" s="35" t="s">
        <v>161</v>
      </c>
      <c r="O29" s="35" t="s">
        <v>69</v>
      </c>
      <c r="P29" s="35" t="s">
        <v>48</v>
      </c>
      <c r="Q29" s="39" t="s">
        <v>41</v>
      </c>
      <c r="R29" s="35"/>
      <c r="S29" s="40" t="n">
        <v>0.6</v>
      </c>
      <c r="T29" s="41" t="n">
        <f aca="false">I29*S29</f>
        <v>0</v>
      </c>
      <c r="U29" s="41" t="n">
        <f aca="false">T29-(T29*0%)</f>
        <v>0</v>
      </c>
      <c r="V29" s="36" t="n">
        <v>100</v>
      </c>
      <c r="W29" s="41" t="n">
        <f aca="false">I29-V29</f>
        <v>-100</v>
      </c>
      <c r="X29" s="41" t="n">
        <f aca="false">W29-U29</f>
        <v>-100</v>
      </c>
      <c r="Y29" s="40" t="n">
        <v>0</v>
      </c>
      <c r="Z29" s="41" t="n">
        <f aca="false">G29*Y29</f>
        <v>0</v>
      </c>
      <c r="AA29" s="40" t="n">
        <v>0</v>
      </c>
      <c r="AB29" s="41" t="n">
        <f aca="false">J29*AA29</f>
        <v>0</v>
      </c>
      <c r="AC29" s="41" t="n">
        <f aca="false">Z29+AB29</f>
        <v>0</v>
      </c>
      <c r="AD29" s="41" t="n">
        <f aca="false">AC29-(AC29*11.5%)</f>
        <v>0</v>
      </c>
      <c r="AE29" s="42" t="n">
        <v>100</v>
      </c>
      <c r="AF29" s="41" t="n">
        <f aca="false">I29+J29-AE29</f>
        <v>-100</v>
      </c>
      <c r="AG29" s="41" t="n">
        <f aca="false">AF29-AD29</f>
        <v>-100</v>
      </c>
      <c r="AH29" s="41" t="n">
        <f aca="false">J29+U29-AD29</f>
        <v>0</v>
      </c>
    </row>
    <row r="30" customFormat="false" ht="15" hidden="false" customHeight="false" outlineLevel="0" collapsed="false">
      <c r="A30" s="19" t="s">
        <v>91</v>
      </c>
      <c r="B30" s="20" t="s">
        <v>162</v>
      </c>
      <c r="C30" s="21" t="n">
        <v>44935</v>
      </c>
      <c r="D30" s="4" t="s">
        <v>163</v>
      </c>
      <c r="E30" s="1" t="s">
        <v>164</v>
      </c>
      <c r="F30" s="5" t="n">
        <v>13458</v>
      </c>
      <c r="G30" s="5" t="n">
        <v>249.08</v>
      </c>
      <c r="H30" s="5" t="n">
        <v>298.89</v>
      </c>
      <c r="I30" s="6" t="n">
        <v>460</v>
      </c>
      <c r="J30" s="7" t="n">
        <v>50</v>
      </c>
      <c r="K30" s="4" t="n">
        <v>44929</v>
      </c>
      <c r="L30" s="4" t="n">
        <v>45841</v>
      </c>
      <c r="M30" s="4" t="n">
        <v>44930</v>
      </c>
      <c r="N30" s="1" t="s">
        <v>165</v>
      </c>
      <c r="O30" s="1" t="s">
        <v>103</v>
      </c>
      <c r="P30" s="1" t="s">
        <v>104</v>
      </c>
      <c r="Q30" s="22" t="s">
        <v>98</v>
      </c>
      <c r="R30" s="1" t="s">
        <v>166</v>
      </c>
      <c r="S30" s="23" t="n">
        <v>0.2</v>
      </c>
      <c r="T30" s="24" t="n">
        <f aca="false">H30*S30</f>
        <v>59.778</v>
      </c>
      <c r="U30" s="24" t="n">
        <f aca="false">T30-(T30*4.6%)</f>
        <v>57.028212</v>
      </c>
      <c r="V30" s="5" t="n">
        <v>0</v>
      </c>
      <c r="W30" s="24" t="n">
        <f aca="false">I30-V30</f>
        <v>460</v>
      </c>
      <c r="X30" s="24" t="n">
        <f aca="false">W30-U30</f>
        <v>402.971788</v>
      </c>
      <c r="Y30" s="23" t="n">
        <v>0.12</v>
      </c>
      <c r="Z30" s="24" t="n">
        <f aca="false">G30*Y30</f>
        <v>29.8896</v>
      </c>
      <c r="AA30" s="23" t="n">
        <v>0.2</v>
      </c>
      <c r="AB30" s="24" t="n">
        <f aca="false">J30*AA30</f>
        <v>10</v>
      </c>
      <c r="AC30" s="24" t="n">
        <f aca="false">Z30+AB30</f>
        <v>39.8896</v>
      </c>
      <c r="AD30" s="24" t="n">
        <f aca="false">AC30-(AC30*11.5%)</f>
        <v>35.302296</v>
      </c>
      <c r="AE30" s="25" t="n">
        <v>510</v>
      </c>
      <c r="AF30" s="24" t="n">
        <f aca="false">I30+J30-AE30</f>
        <v>0</v>
      </c>
      <c r="AG30" s="24" t="n">
        <f aca="false">AF30-AD30</f>
        <v>-35.302296</v>
      </c>
      <c r="AH30" s="24" t="n">
        <f aca="false">J30+U30-AD30</f>
        <v>71.725916</v>
      </c>
    </row>
    <row r="31" customFormat="false" ht="15" hidden="false" customHeight="false" outlineLevel="0" collapsed="false">
      <c r="A31" s="19"/>
      <c r="B31" s="20"/>
      <c r="C31" s="21"/>
      <c r="D31" s="4"/>
      <c r="F31" s="5"/>
      <c r="G31" s="5"/>
      <c r="H31" s="5"/>
      <c r="I31" s="6"/>
      <c r="J31" s="7"/>
      <c r="K31" s="4"/>
      <c r="L31" s="4"/>
      <c r="M31" s="4"/>
      <c r="Q31" s="22"/>
      <c r="S31" s="23" t="n">
        <v>0</v>
      </c>
      <c r="T31" s="24" t="n">
        <f aca="false">H31*S31</f>
        <v>0</v>
      </c>
      <c r="U31" s="24" t="n">
        <f aca="false">T31-(T31*4.6%)</f>
        <v>0</v>
      </c>
      <c r="V31" s="5" t="n">
        <v>0</v>
      </c>
      <c r="W31" s="24" t="n">
        <f aca="false">I31-V31</f>
        <v>0</v>
      </c>
      <c r="X31" s="24" t="n">
        <f aca="false">W31-U31</f>
        <v>0</v>
      </c>
      <c r="Y31" s="23" t="n">
        <v>0</v>
      </c>
      <c r="Z31" s="24" t="n">
        <f aca="false">G31*Y31</f>
        <v>0</v>
      </c>
      <c r="AA31" s="23" t="n">
        <v>0</v>
      </c>
      <c r="AB31" s="24" t="n">
        <f aca="false">J31*AA31</f>
        <v>0</v>
      </c>
      <c r="AC31" s="24" t="n">
        <f aca="false">Z31+AB31</f>
        <v>0</v>
      </c>
      <c r="AD31" s="24" t="n">
        <f aca="false">AC31-(AC31*11.5%)</f>
        <v>0</v>
      </c>
      <c r="AE31" s="25" t="n">
        <v>0</v>
      </c>
      <c r="AF31" s="24" t="n">
        <f aca="false">I31+J31-AE31</f>
        <v>0</v>
      </c>
      <c r="AG31" s="24" t="n">
        <f aca="false">AF31-AD31</f>
        <v>0</v>
      </c>
      <c r="AH31" s="24" t="n">
        <f aca="false">J31+U31-AD31</f>
        <v>0</v>
      </c>
    </row>
    <row r="32" customFormat="false" ht="15" hidden="false" customHeight="false" outlineLevel="0" collapsed="false">
      <c r="A32" s="19"/>
      <c r="B32" s="20"/>
      <c r="C32" s="21"/>
      <c r="D32" s="4"/>
      <c r="F32" s="5"/>
      <c r="G32" s="5"/>
      <c r="H32" s="5"/>
      <c r="I32" s="6"/>
      <c r="J32" s="7"/>
      <c r="K32" s="4"/>
      <c r="L32" s="4"/>
      <c r="M32" s="4"/>
      <c r="Q32" s="22"/>
      <c r="S32" s="23" t="n">
        <v>0</v>
      </c>
      <c r="T32" s="24" t="n">
        <f aca="false">H32*S32</f>
        <v>0</v>
      </c>
      <c r="U32" s="24" t="n">
        <f aca="false">T32-(T32*4.6%)</f>
        <v>0</v>
      </c>
      <c r="V32" s="5" t="n">
        <v>0</v>
      </c>
      <c r="W32" s="24" t="n">
        <f aca="false">I32-V32</f>
        <v>0</v>
      </c>
      <c r="X32" s="24" t="n">
        <f aca="false">W32-U32</f>
        <v>0</v>
      </c>
      <c r="Y32" s="23" t="n">
        <v>0</v>
      </c>
      <c r="Z32" s="24" t="n">
        <f aca="false">G32*Y32</f>
        <v>0</v>
      </c>
      <c r="AA32" s="23" t="n">
        <v>0</v>
      </c>
      <c r="AB32" s="24" t="n">
        <f aca="false">J32*AA32</f>
        <v>0</v>
      </c>
      <c r="AC32" s="24" t="n">
        <f aca="false">Z32+AB32</f>
        <v>0</v>
      </c>
      <c r="AD32" s="24" t="n">
        <f aca="false">AC32-(AC32*11.5%)</f>
        <v>0</v>
      </c>
      <c r="AE32" s="25" t="n">
        <v>0</v>
      </c>
      <c r="AF32" s="24" t="n">
        <f aca="false">I32+J32-AE32</f>
        <v>0</v>
      </c>
      <c r="AG32" s="24" t="n">
        <f aca="false">AF32-AD32</f>
        <v>0</v>
      </c>
      <c r="AH32" s="24" t="n">
        <f aca="false">J32+U32-AD32</f>
        <v>0</v>
      </c>
    </row>
    <row r="33" customFormat="false" ht="15" hidden="false" customHeight="false" outlineLevel="0" collapsed="false">
      <c r="A33" s="19"/>
      <c r="B33" s="20"/>
      <c r="C33" s="21"/>
      <c r="D33" s="4"/>
      <c r="F33" s="5"/>
      <c r="G33" s="5"/>
      <c r="H33" s="5"/>
      <c r="I33" s="6"/>
      <c r="J33" s="7"/>
      <c r="K33" s="4"/>
      <c r="L33" s="4"/>
      <c r="M33" s="4"/>
      <c r="Q33" s="22"/>
      <c r="S33" s="23" t="n">
        <v>0</v>
      </c>
      <c r="T33" s="24" t="n">
        <f aca="false">H33*S33</f>
        <v>0</v>
      </c>
      <c r="U33" s="24" t="n">
        <f aca="false">T33-(T33*4.6%)</f>
        <v>0</v>
      </c>
      <c r="V33" s="5" t="n">
        <v>0</v>
      </c>
      <c r="W33" s="24" t="n">
        <f aca="false">I33-V33</f>
        <v>0</v>
      </c>
      <c r="X33" s="24" t="n">
        <f aca="false">W33-U33</f>
        <v>0</v>
      </c>
      <c r="Y33" s="23" t="n">
        <v>0</v>
      </c>
      <c r="Z33" s="24" t="n">
        <f aca="false">G33*Y33</f>
        <v>0</v>
      </c>
      <c r="AA33" s="23" t="n">
        <v>0</v>
      </c>
      <c r="AB33" s="24" t="n">
        <f aca="false">J33*AA33</f>
        <v>0</v>
      </c>
      <c r="AC33" s="24" t="n">
        <f aca="false">Z33+AB33</f>
        <v>0</v>
      </c>
      <c r="AD33" s="24" t="n">
        <f aca="false">AC33-(AC33*11.5%)</f>
        <v>0</v>
      </c>
      <c r="AE33" s="25" t="n">
        <v>0</v>
      </c>
      <c r="AF33" s="24" t="n">
        <f aca="false">I33+J33-AE33</f>
        <v>0</v>
      </c>
      <c r="AG33" s="24" t="n">
        <f aca="false">AF33-AD33</f>
        <v>0</v>
      </c>
      <c r="AH33" s="24" t="n">
        <f aca="false">J33+U33-AD33</f>
        <v>0</v>
      </c>
    </row>
    <row r="34" customFormat="false" ht="15" hidden="false" customHeight="false" outlineLevel="0" collapsed="false">
      <c r="A34" s="19"/>
      <c r="B34" s="20"/>
      <c r="C34" s="21"/>
      <c r="D34" s="4"/>
      <c r="F34" s="5"/>
      <c r="G34" s="5"/>
      <c r="H34" s="5"/>
      <c r="I34" s="6"/>
      <c r="J34" s="7"/>
      <c r="K34" s="4"/>
      <c r="L34" s="4"/>
      <c r="M34" s="4"/>
      <c r="Q34" s="22"/>
      <c r="S34" s="23" t="n">
        <v>0</v>
      </c>
      <c r="T34" s="24" t="n">
        <f aca="false">H34*S34</f>
        <v>0</v>
      </c>
      <c r="U34" s="24" t="n">
        <f aca="false">T34-(T34*4.6%)</f>
        <v>0</v>
      </c>
      <c r="V34" s="5" t="n">
        <v>0</v>
      </c>
      <c r="W34" s="24" t="n">
        <f aca="false">I34-V34</f>
        <v>0</v>
      </c>
      <c r="X34" s="24" t="n">
        <f aca="false">W34-U34</f>
        <v>0</v>
      </c>
      <c r="Y34" s="23" t="n">
        <v>0</v>
      </c>
      <c r="Z34" s="24" t="n">
        <f aca="false">G34*Y34</f>
        <v>0</v>
      </c>
      <c r="AA34" s="23" t="n">
        <v>0</v>
      </c>
      <c r="AB34" s="24" t="n">
        <f aca="false">J34*AA34</f>
        <v>0</v>
      </c>
      <c r="AC34" s="24" t="n">
        <f aca="false">Z34+AB34</f>
        <v>0</v>
      </c>
      <c r="AD34" s="24" t="n">
        <f aca="false">AC34-(AC34*11.5%)</f>
        <v>0</v>
      </c>
      <c r="AE34" s="25" t="n">
        <v>0</v>
      </c>
      <c r="AF34" s="24" t="n">
        <f aca="false">I34+J34-AE34</f>
        <v>0</v>
      </c>
      <c r="AG34" s="24" t="n">
        <f aca="false">AF34-AD34</f>
        <v>0</v>
      </c>
      <c r="AH34" s="24" t="n">
        <f aca="false">J34+U34-AD34</f>
        <v>0</v>
      </c>
    </row>
    <row r="35" customFormat="false" ht="15" hidden="false" customHeight="false" outlineLevel="0" collapsed="false">
      <c r="A35" s="19"/>
      <c r="B35" s="20"/>
      <c r="C35" s="21"/>
      <c r="D35" s="4"/>
      <c r="F35" s="5"/>
      <c r="G35" s="5"/>
      <c r="H35" s="5"/>
      <c r="I35" s="6"/>
      <c r="J35" s="7"/>
      <c r="K35" s="4"/>
      <c r="L35" s="4"/>
      <c r="M35" s="4"/>
      <c r="Q35" s="22"/>
      <c r="S35" s="23" t="n">
        <v>0</v>
      </c>
      <c r="T35" s="24" t="n">
        <f aca="false">H35*S35</f>
        <v>0</v>
      </c>
      <c r="U35" s="24" t="n">
        <f aca="false">T35-(T35*4.6%)</f>
        <v>0</v>
      </c>
      <c r="V35" s="5" t="n">
        <v>0</v>
      </c>
      <c r="W35" s="24" t="n">
        <f aca="false">I35-V35</f>
        <v>0</v>
      </c>
      <c r="X35" s="24" t="n">
        <f aca="false">W35-U35</f>
        <v>0</v>
      </c>
      <c r="Y35" s="23" t="n">
        <v>0</v>
      </c>
      <c r="Z35" s="24" t="n">
        <f aca="false">G35*Y35</f>
        <v>0</v>
      </c>
      <c r="AA35" s="23" t="n">
        <v>0</v>
      </c>
      <c r="AB35" s="24" t="n">
        <f aca="false">J35*AA35</f>
        <v>0</v>
      </c>
      <c r="AC35" s="24" t="n">
        <f aca="false">Z35+AB35</f>
        <v>0</v>
      </c>
      <c r="AD35" s="24" t="n">
        <f aca="false">AC35-(AC35*11.5%)</f>
        <v>0</v>
      </c>
      <c r="AE35" s="25" t="n">
        <v>0</v>
      </c>
      <c r="AF35" s="24" t="n">
        <f aca="false">I35+J35-AE35</f>
        <v>0</v>
      </c>
      <c r="AG35" s="24" t="n">
        <f aca="false">AF35-AD35</f>
        <v>0</v>
      </c>
      <c r="AH35" s="24" t="n">
        <f aca="false">J35+U35-AD35</f>
        <v>0</v>
      </c>
    </row>
    <row r="36" customFormat="false" ht="15" hidden="false" customHeight="false" outlineLevel="0" collapsed="false">
      <c r="A36" s="19"/>
      <c r="B36" s="20"/>
      <c r="C36" s="21"/>
      <c r="D36" s="4"/>
      <c r="F36" s="5"/>
      <c r="G36" s="5"/>
      <c r="H36" s="5"/>
      <c r="I36" s="6"/>
      <c r="J36" s="7"/>
      <c r="K36" s="4"/>
      <c r="L36" s="4"/>
      <c r="M36" s="4"/>
      <c r="Q36" s="22"/>
      <c r="S36" s="23" t="n">
        <v>0</v>
      </c>
      <c r="T36" s="24" t="n">
        <f aca="false">H36*S36</f>
        <v>0</v>
      </c>
      <c r="U36" s="24" t="n">
        <f aca="false">T36-(T36*4.6%)</f>
        <v>0</v>
      </c>
      <c r="V36" s="5" t="n">
        <v>0</v>
      </c>
      <c r="W36" s="24" t="n">
        <f aca="false">I36-V36</f>
        <v>0</v>
      </c>
      <c r="X36" s="24" t="n">
        <f aca="false">W36-U36</f>
        <v>0</v>
      </c>
      <c r="Y36" s="23" t="n">
        <v>0</v>
      </c>
      <c r="Z36" s="24" t="n">
        <f aca="false">G36*Y36</f>
        <v>0</v>
      </c>
      <c r="AA36" s="23" t="n">
        <v>0</v>
      </c>
      <c r="AB36" s="24" t="n">
        <f aca="false">J36*AA36</f>
        <v>0</v>
      </c>
      <c r="AC36" s="24" t="n">
        <f aca="false">Z36+AB36</f>
        <v>0</v>
      </c>
      <c r="AD36" s="24" t="n">
        <f aca="false">AC36-(AC36*11.5%)</f>
        <v>0</v>
      </c>
      <c r="AE36" s="25" t="n">
        <v>0</v>
      </c>
      <c r="AF36" s="24" t="n">
        <f aca="false">I36+J36-AE36</f>
        <v>0</v>
      </c>
      <c r="AG36" s="24" t="n">
        <f aca="false">AF36-AD36</f>
        <v>0</v>
      </c>
      <c r="AH36" s="24" t="n">
        <f aca="false">J36+U36-AD36</f>
        <v>0</v>
      </c>
    </row>
    <row r="37" customFormat="false" ht="15" hidden="false" customHeight="false" outlineLevel="0" collapsed="false">
      <c r="A37" s="19"/>
      <c r="B37" s="20"/>
      <c r="C37" s="21"/>
      <c r="D37" s="4"/>
      <c r="F37" s="5"/>
      <c r="G37" s="5"/>
      <c r="H37" s="5"/>
      <c r="I37" s="6"/>
      <c r="J37" s="7"/>
      <c r="K37" s="4"/>
      <c r="L37" s="4"/>
      <c r="M37" s="4"/>
      <c r="Q37" s="22"/>
      <c r="S37" s="23" t="n">
        <v>0</v>
      </c>
      <c r="T37" s="24" t="n">
        <f aca="false">H37*S37</f>
        <v>0</v>
      </c>
      <c r="U37" s="24" t="n">
        <f aca="false">T37-(T37*4.6%)</f>
        <v>0</v>
      </c>
      <c r="V37" s="5" t="n">
        <v>0</v>
      </c>
      <c r="W37" s="24" t="n">
        <f aca="false">I37-V37</f>
        <v>0</v>
      </c>
      <c r="X37" s="24" t="n">
        <f aca="false">W37-U37</f>
        <v>0</v>
      </c>
      <c r="Y37" s="23" t="n">
        <v>0</v>
      </c>
      <c r="Z37" s="24" t="n">
        <f aca="false">G37*Y37</f>
        <v>0</v>
      </c>
      <c r="AA37" s="23" t="n">
        <v>0</v>
      </c>
      <c r="AB37" s="24" t="n">
        <f aca="false">J37*AA37</f>
        <v>0</v>
      </c>
      <c r="AC37" s="24" t="n">
        <f aca="false">Z37+AB37</f>
        <v>0</v>
      </c>
      <c r="AD37" s="24" t="n">
        <f aca="false">AC37-(AC37*11.5%)</f>
        <v>0</v>
      </c>
      <c r="AE37" s="25" t="n">
        <v>0</v>
      </c>
      <c r="AF37" s="24" t="n">
        <f aca="false">I37+J37-AE37</f>
        <v>0</v>
      </c>
      <c r="AG37" s="24" t="n">
        <f aca="false">AF37-AD37</f>
        <v>0</v>
      </c>
      <c r="AH37" s="24" t="n">
        <f aca="false">J37+U37-AD37</f>
        <v>0</v>
      </c>
    </row>
    <row r="38" customFormat="false" ht="15" hidden="false" customHeight="false" outlineLevel="0" collapsed="false">
      <c r="A38" s="19"/>
      <c r="B38" s="20"/>
      <c r="C38" s="21"/>
      <c r="D38" s="4"/>
      <c r="F38" s="5"/>
      <c r="G38" s="5"/>
      <c r="H38" s="5"/>
      <c r="I38" s="6"/>
      <c r="J38" s="7"/>
      <c r="K38" s="4"/>
      <c r="L38" s="4"/>
      <c r="M38" s="4"/>
      <c r="Q38" s="22"/>
      <c r="S38" s="23" t="n">
        <v>0</v>
      </c>
      <c r="T38" s="24" t="n">
        <f aca="false">H38*S38</f>
        <v>0</v>
      </c>
      <c r="U38" s="24" t="n">
        <f aca="false">T38-(T38*4.6%)</f>
        <v>0</v>
      </c>
      <c r="V38" s="5" t="n">
        <v>0</v>
      </c>
      <c r="W38" s="24" t="n">
        <f aca="false">I38-V38</f>
        <v>0</v>
      </c>
      <c r="X38" s="24" t="n">
        <f aca="false">W38-U38</f>
        <v>0</v>
      </c>
      <c r="Y38" s="23" t="n">
        <v>0</v>
      </c>
      <c r="Z38" s="24" t="n">
        <f aca="false">G38*Y38</f>
        <v>0</v>
      </c>
      <c r="AA38" s="23" t="n">
        <v>0</v>
      </c>
      <c r="AB38" s="24" t="n">
        <f aca="false">J38*AA38</f>
        <v>0</v>
      </c>
      <c r="AC38" s="24" t="n">
        <f aca="false">Z38+AB38</f>
        <v>0</v>
      </c>
      <c r="AD38" s="24" t="n">
        <f aca="false">AC38-(AC38*11.5%)</f>
        <v>0</v>
      </c>
      <c r="AE38" s="25" t="n">
        <v>0</v>
      </c>
      <c r="AF38" s="24" t="n">
        <f aca="false">I38+J38-AE38</f>
        <v>0</v>
      </c>
      <c r="AG38" s="24" t="n">
        <f aca="false">AF38-AD38</f>
        <v>0</v>
      </c>
      <c r="AH38" s="24" t="n">
        <f aca="false">J38+U38-AD38</f>
        <v>0</v>
      </c>
    </row>
    <row r="39" customFormat="false" ht="15" hidden="false" customHeight="false" outlineLevel="0" collapsed="false">
      <c r="A39" s="19"/>
      <c r="B39" s="20"/>
      <c r="C39" s="21"/>
      <c r="D39" s="4"/>
      <c r="F39" s="5"/>
      <c r="G39" s="5"/>
      <c r="H39" s="5"/>
      <c r="I39" s="6"/>
      <c r="J39" s="7"/>
      <c r="K39" s="4"/>
      <c r="L39" s="4"/>
      <c r="M39" s="4"/>
      <c r="Q39" s="22"/>
      <c r="S39" s="23" t="n">
        <v>0</v>
      </c>
      <c r="T39" s="24" t="n">
        <f aca="false">H39*S39</f>
        <v>0</v>
      </c>
      <c r="U39" s="24" t="n">
        <f aca="false">T39-(T39*4.6%)</f>
        <v>0</v>
      </c>
      <c r="V39" s="5" t="n">
        <v>0</v>
      </c>
      <c r="W39" s="24" t="n">
        <f aca="false">I39-V39</f>
        <v>0</v>
      </c>
      <c r="X39" s="24" t="n">
        <f aca="false">W39-U39</f>
        <v>0</v>
      </c>
      <c r="Y39" s="23" t="n">
        <v>0</v>
      </c>
      <c r="Z39" s="24" t="n">
        <f aca="false">G39*Y39</f>
        <v>0</v>
      </c>
      <c r="AA39" s="23" t="n">
        <v>0</v>
      </c>
      <c r="AB39" s="24" t="n">
        <f aca="false">J39*AA39</f>
        <v>0</v>
      </c>
      <c r="AC39" s="24" t="n">
        <f aca="false">Z39+AB39</f>
        <v>0</v>
      </c>
      <c r="AD39" s="24" t="n">
        <f aca="false">AC39-(AC39*11.5%)</f>
        <v>0</v>
      </c>
      <c r="AE39" s="25" t="n">
        <v>0</v>
      </c>
      <c r="AF39" s="24" t="n">
        <f aca="false">I39+J39-AE39</f>
        <v>0</v>
      </c>
      <c r="AG39" s="24" t="n">
        <f aca="false">AF39-AD39</f>
        <v>0</v>
      </c>
      <c r="AH39" s="24" t="n">
        <f aca="false">J39+U39-AD39</f>
        <v>0</v>
      </c>
    </row>
    <row r="40" customFormat="false" ht="15" hidden="false" customHeight="false" outlineLevel="0" collapsed="false">
      <c r="A40" s="19"/>
      <c r="B40" s="20"/>
      <c r="C40" s="21"/>
      <c r="D40" s="4"/>
      <c r="F40" s="5"/>
      <c r="G40" s="5"/>
      <c r="H40" s="5"/>
      <c r="I40" s="6"/>
      <c r="J40" s="7"/>
      <c r="K40" s="4"/>
      <c r="L40" s="4"/>
      <c r="M40" s="4"/>
      <c r="Q40" s="22"/>
      <c r="S40" s="23" t="n">
        <v>0</v>
      </c>
      <c r="T40" s="24" t="n">
        <f aca="false">H40*S40</f>
        <v>0</v>
      </c>
      <c r="U40" s="24" t="n">
        <f aca="false">T40-(T40*4.6%)</f>
        <v>0</v>
      </c>
      <c r="V40" s="5" t="n">
        <v>0</v>
      </c>
      <c r="W40" s="24" t="n">
        <f aca="false">I40-V40</f>
        <v>0</v>
      </c>
      <c r="X40" s="24" t="n">
        <f aca="false">W40-U40</f>
        <v>0</v>
      </c>
      <c r="Y40" s="23" t="n">
        <v>0</v>
      </c>
      <c r="Z40" s="24" t="n">
        <f aca="false">G40*Y40</f>
        <v>0</v>
      </c>
      <c r="AA40" s="23" t="n">
        <v>0</v>
      </c>
      <c r="AB40" s="24" t="n">
        <f aca="false">J40*AA40</f>
        <v>0</v>
      </c>
      <c r="AC40" s="24" t="n">
        <f aca="false">Z40+AB40</f>
        <v>0</v>
      </c>
      <c r="AD40" s="24" t="n">
        <f aca="false">AC40-(AC40*11.5%)</f>
        <v>0</v>
      </c>
      <c r="AE40" s="25" t="n">
        <v>0</v>
      </c>
      <c r="AF40" s="24" t="n">
        <f aca="false">I40+J40-AE40</f>
        <v>0</v>
      </c>
      <c r="AG40" s="24" t="n">
        <f aca="false">AF40-AD40</f>
        <v>0</v>
      </c>
      <c r="AH40" s="24" t="n">
        <f aca="false">J40+U40-AD40</f>
        <v>0</v>
      </c>
    </row>
    <row r="41" customFormat="false" ht="15" hidden="false" customHeight="false" outlineLevel="0" collapsed="false">
      <c r="A41" s="19"/>
      <c r="B41" s="20"/>
      <c r="C41" s="21"/>
      <c r="D41" s="4"/>
      <c r="F41" s="5"/>
      <c r="G41" s="5"/>
      <c r="H41" s="5"/>
      <c r="I41" s="6"/>
      <c r="J41" s="7"/>
      <c r="K41" s="4"/>
      <c r="L41" s="4"/>
      <c r="M41" s="4"/>
      <c r="Q41" s="22"/>
      <c r="S41" s="23" t="n">
        <v>0</v>
      </c>
      <c r="T41" s="24" t="n">
        <f aca="false">H41*S41</f>
        <v>0</v>
      </c>
      <c r="U41" s="24" t="n">
        <f aca="false">T41-(T41*4.6%)</f>
        <v>0</v>
      </c>
      <c r="V41" s="5" t="n">
        <v>0</v>
      </c>
      <c r="W41" s="24" t="n">
        <f aca="false">I41-V41</f>
        <v>0</v>
      </c>
      <c r="X41" s="24" t="n">
        <f aca="false">W41-U41</f>
        <v>0</v>
      </c>
      <c r="Y41" s="23" t="n">
        <v>0</v>
      </c>
      <c r="Z41" s="24" t="n">
        <f aca="false">G41*Y41</f>
        <v>0</v>
      </c>
      <c r="AA41" s="23" t="n">
        <v>0</v>
      </c>
      <c r="AB41" s="24" t="n">
        <f aca="false">J41*AA41</f>
        <v>0</v>
      </c>
      <c r="AC41" s="24" t="n">
        <f aca="false">Z41+AB41</f>
        <v>0</v>
      </c>
      <c r="AD41" s="24" t="n">
        <f aca="false">AC41-(AC41*11.5%)</f>
        <v>0</v>
      </c>
      <c r="AE41" s="25" t="n">
        <v>0</v>
      </c>
      <c r="AF41" s="24" t="n">
        <f aca="false">I41+J41-AE41</f>
        <v>0</v>
      </c>
      <c r="AG41" s="24" t="n">
        <f aca="false">AF41-AD41</f>
        <v>0</v>
      </c>
      <c r="AH41" s="24" t="n">
        <f aca="false">J41+U41-AD41</f>
        <v>0</v>
      </c>
    </row>
    <row r="42" customFormat="false" ht="15" hidden="false" customHeight="false" outlineLevel="0" collapsed="false">
      <c r="A42" s="19"/>
      <c r="B42" s="20"/>
      <c r="C42" s="21"/>
      <c r="D42" s="4"/>
      <c r="F42" s="5"/>
      <c r="G42" s="5"/>
      <c r="H42" s="5"/>
      <c r="I42" s="6"/>
      <c r="J42" s="7"/>
      <c r="K42" s="4"/>
      <c r="L42" s="4"/>
      <c r="M42" s="4"/>
      <c r="Q42" s="22"/>
      <c r="S42" s="23" t="n">
        <v>0</v>
      </c>
      <c r="T42" s="24" t="n">
        <f aca="false">H42*S42</f>
        <v>0</v>
      </c>
      <c r="U42" s="24" t="n">
        <f aca="false">T42-(T42*4.6%)</f>
        <v>0</v>
      </c>
      <c r="V42" s="5" t="n">
        <v>0</v>
      </c>
      <c r="W42" s="24" t="n">
        <f aca="false">I42-V42</f>
        <v>0</v>
      </c>
      <c r="X42" s="24" t="n">
        <f aca="false">W42-U42</f>
        <v>0</v>
      </c>
      <c r="Y42" s="23" t="n">
        <v>0</v>
      </c>
      <c r="Z42" s="24" t="n">
        <f aca="false">G42*Y42</f>
        <v>0</v>
      </c>
      <c r="AA42" s="23" t="n">
        <v>0</v>
      </c>
      <c r="AB42" s="24" t="n">
        <f aca="false">J42*AA42</f>
        <v>0</v>
      </c>
      <c r="AC42" s="24" t="n">
        <f aca="false">Z42+AB42</f>
        <v>0</v>
      </c>
      <c r="AD42" s="24" t="n">
        <f aca="false">AC42-(AC42*11.5%)</f>
        <v>0</v>
      </c>
      <c r="AE42" s="25" t="n">
        <v>0</v>
      </c>
      <c r="AF42" s="24" t="n">
        <f aca="false">I42+J42-AE42</f>
        <v>0</v>
      </c>
      <c r="AG42" s="24" t="n">
        <f aca="false">AF42-AD42</f>
        <v>0</v>
      </c>
      <c r="AH42" s="24" t="n">
        <f aca="false">J42+U42-AD42</f>
        <v>0</v>
      </c>
    </row>
    <row r="43" customFormat="false" ht="15" hidden="false" customHeight="false" outlineLevel="0" collapsed="false">
      <c r="A43" s="19"/>
      <c r="B43" s="20"/>
      <c r="C43" s="21"/>
      <c r="D43" s="4"/>
      <c r="F43" s="5"/>
      <c r="G43" s="5"/>
      <c r="H43" s="5"/>
      <c r="I43" s="6"/>
      <c r="J43" s="7"/>
      <c r="K43" s="4"/>
      <c r="L43" s="4"/>
      <c r="M43" s="4"/>
      <c r="Q43" s="22"/>
      <c r="S43" s="23" t="n">
        <v>0</v>
      </c>
      <c r="T43" s="24" t="n">
        <f aca="false">H43*S43</f>
        <v>0</v>
      </c>
      <c r="U43" s="24" t="n">
        <f aca="false">T43-(T43*4.6%)</f>
        <v>0</v>
      </c>
      <c r="V43" s="5" t="n">
        <v>0</v>
      </c>
      <c r="W43" s="24" t="n">
        <f aca="false">I43-V43</f>
        <v>0</v>
      </c>
      <c r="X43" s="24" t="n">
        <f aca="false">W43-U43</f>
        <v>0</v>
      </c>
      <c r="Y43" s="23" t="n">
        <v>0</v>
      </c>
      <c r="Z43" s="24" t="n">
        <f aca="false">G43*Y43</f>
        <v>0</v>
      </c>
      <c r="AA43" s="23" t="n">
        <v>0</v>
      </c>
      <c r="AB43" s="24" t="n">
        <f aca="false">J43*AA43</f>
        <v>0</v>
      </c>
      <c r="AC43" s="24" t="n">
        <f aca="false">Z43+AB43</f>
        <v>0</v>
      </c>
      <c r="AD43" s="24" t="n">
        <f aca="false">AC43-(AC43*11.5%)</f>
        <v>0</v>
      </c>
      <c r="AE43" s="25" t="n">
        <v>0</v>
      </c>
      <c r="AF43" s="24" t="n">
        <f aca="false">I43+J43-AE43</f>
        <v>0</v>
      </c>
      <c r="AG43" s="24" t="n">
        <f aca="false">AF43-AD43</f>
        <v>0</v>
      </c>
      <c r="AH43" s="24" t="n">
        <f aca="false">J43+U43-AD43</f>
        <v>0</v>
      </c>
    </row>
    <row r="44" customFormat="false" ht="15" hidden="false" customHeight="false" outlineLevel="0" collapsed="false">
      <c r="A44" s="19"/>
      <c r="B44" s="20"/>
      <c r="C44" s="21"/>
      <c r="D44" s="4"/>
      <c r="F44" s="5"/>
      <c r="G44" s="5"/>
      <c r="H44" s="5"/>
      <c r="I44" s="6"/>
      <c r="J44" s="7"/>
      <c r="K44" s="4"/>
      <c r="L44" s="4"/>
      <c r="M44" s="4"/>
      <c r="Q44" s="22"/>
      <c r="S44" s="23" t="n">
        <v>0</v>
      </c>
      <c r="T44" s="24" t="n">
        <f aca="false">H44*S44</f>
        <v>0</v>
      </c>
      <c r="U44" s="24" t="n">
        <f aca="false">T44-(T44*4.6%)</f>
        <v>0</v>
      </c>
      <c r="V44" s="5" t="n">
        <v>0</v>
      </c>
      <c r="W44" s="24" t="n">
        <f aca="false">I44-V44</f>
        <v>0</v>
      </c>
      <c r="X44" s="24" t="n">
        <f aca="false">W44-U44</f>
        <v>0</v>
      </c>
      <c r="Y44" s="23" t="n">
        <v>0</v>
      </c>
      <c r="Z44" s="24" t="n">
        <f aca="false">G44*Y44</f>
        <v>0</v>
      </c>
      <c r="AA44" s="23" t="n">
        <v>0</v>
      </c>
      <c r="AB44" s="24" t="n">
        <f aca="false">J44*AA44</f>
        <v>0</v>
      </c>
      <c r="AC44" s="24" t="n">
        <f aca="false">Z44+AB44</f>
        <v>0</v>
      </c>
      <c r="AD44" s="24" t="n">
        <f aca="false">AC44-(AC44*11.5%)</f>
        <v>0</v>
      </c>
      <c r="AE44" s="25" t="n">
        <v>0</v>
      </c>
      <c r="AF44" s="24" t="n">
        <f aca="false">I44+J44-AE44</f>
        <v>0</v>
      </c>
      <c r="AG44" s="24" t="n">
        <f aca="false">AF44-AD44</f>
        <v>0</v>
      </c>
      <c r="AH44" s="24" t="n">
        <f aca="false">J44+U44-AD44</f>
        <v>0</v>
      </c>
    </row>
    <row r="45" customFormat="false" ht="15" hidden="false" customHeight="false" outlineLevel="0" collapsed="false">
      <c r="A45" s="19"/>
      <c r="B45" s="20"/>
      <c r="C45" s="21"/>
      <c r="D45" s="4"/>
      <c r="F45" s="5"/>
      <c r="G45" s="5"/>
      <c r="H45" s="5"/>
      <c r="I45" s="6"/>
      <c r="J45" s="7"/>
      <c r="K45" s="4"/>
      <c r="L45" s="4"/>
      <c r="M45" s="4"/>
      <c r="Q45" s="22"/>
      <c r="S45" s="23" t="n">
        <v>0</v>
      </c>
      <c r="T45" s="24" t="n">
        <f aca="false">H45*S45</f>
        <v>0</v>
      </c>
      <c r="U45" s="24" t="n">
        <f aca="false">T45-(T45*4.6%)</f>
        <v>0</v>
      </c>
      <c r="V45" s="5" t="n">
        <v>0</v>
      </c>
      <c r="W45" s="24" t="n">
        <f aca="false">I45-V45</f>
        <v>0</v>
      </c>
      <c r="X45" s="24" t="n">
        <f aca="false">W45-U45</f>
        <v>0</v>
      </c>
      <c r="Y45" s="23" t="n">
        <v>0</v>
      </c>
      <c r="Z45" s="24" t="n">
        <f aca="false">G45*Y45</f>
        <v>0</v>
      </c>
      <c r="AA45" s="23" t="n">
        <v>0</v>
      </c>
      <c r="AB45" s="24" t="n">
        <f aca="false">J45*AA45</f>
        <v>0</v>
      </c>
      <c r="AC45" s="24" t="n">
        <f aca="false">Z45+AB45</f>
        <v>0</v>
      </c>
      <c r="AD45" s="24" t="n">
        <f aca="false">AC45-(AC45*11.5%)</f>
        <v>0</v>
      </c>
      <c r="AE45" s="25" t="n">
        <v>0</v>
      </c>
      <c r="AF45" s="24" t="n">
        <f aca="false">I45+J45-AE45</f>
        <v>0</v>
      </c>
      <c r="AG45" s="24" t="n">
        <f aca="false">AF45-AD45</f>
        <v>0</v>
      </c>
      <c r="AH45" s="24" t="n">
        <f aca="false">J45+U45-AD45</f>
        <v>0</v>
      </c>
    </row>
    <row r="46" customFormat="false" ht="15" hidden="false" customHeight="false" outlineLevel="0" collapsed="false">
      <c r="A46" s="19"/>
      <c r="B46" s="20"/>
      <c r="C46" s="21"/>
      <c r="D46" s="4"/>
      <c r="F46" s="5"/>
      <c r="G46" s="5"/>
      <c r="H46" s="5"/>
      <c r="I46" s="6"/>
      <c r="J46" s="7"/>
      <c r="K46" s="4"/>
      <c r="L46" s="4"/>
      <c r="M46" s="4"/>
      <c r="Q46" s="22"/>
      <c r="S46" s="23" t="n">
        <v>0</v>
      </c>
      <c r="T46" s="24" t="n">
        <f aca="false">H46*S46</f>
        <v>0</v>
      </c>
      <c r="U46" s="24" t="n">
        <f aca="false">T46-(T46*4.6%)</f>
        <v>0</v>
      </c>
      <c r="V46" s="5" t="n">
        <v>0</v>
      </c>
      <c r="W46" s="24" t="n">
        <f aca="false">I46-V46</f>
        <v>0</v>
      </c>
      <c r="X46" s="24" t="n">
        <f aca="false">W46-U46</f>
        <v>0</v>
      </c>
      <c r="Y46" s="23" t="n">
        <v>0</v>
      </c>
      <c r="Z46" s="24" t="n">
        <f aca="false">G46*Y46</f>
        <v>0</v>
      </c>
      <c r="AA46" s="23" t="n">
        <v>0</v>
      </c>
      <c r="AB46" s="24" t="n">
        <f aca="false">J46*AA46</f>
        <v>0</v>
      </c>
      <c r="AC46" s="24" t="n">
        <f aca="false">Z46+AB46</f>
        <v>0</v>
      </c>
      <c r="AD46" s="24" t="n">
        <f aca="false">AC46-(AC46*11.5%)</f>
        <v>0</v>
      </c>
      <c r="AE46" s="25" t="n">
        <v>0</v>
      </c>
      <c r="AF46" s="24" t="n">
        <f aca="false">I46+J46-AE46</f>
        <v>0</v>
      </c>
      <c r="AG46" s="24" t="n">
        <f aca="false">AF46-AD46</f>
        <v>0</v>
      </c>
      <c r="AH46" s="24" t="n">
        <f aca="false">J46+U46-AD46</f>
        <v>0</v>
      </c>
    </row>
    <row r="47" customFormat="false" ht="15" hidden="false" customHeight="false" outlineLevel="0" collapsed="false">
      <c r="A47" s="19"/>
      <c r="B47" s="20"/>
      <c r="C47" s="21"/>
      <c r="D47" s="4"/>
      <c r="F47" s="5"/>
      <c r="G47" s="5"/>
      <c r="H47" s="5"/>
      <c r="I47" s="6"/>
      <c r="J47" s="7"/>
      <c r="K47" s="4"/>
      <c r="L47" s="4"/>
      <c r="M47" s="4"/>
      <c r="Q47" s="22"/>
      <c r="S47" s="23" t="n">
        <v>0</v>
      </c>
      <c r="T47" s="24" t="n">
        <f aca="false">H47*S47</f>
        <v>0</v>
      </c>
      <c r="U47" s="24" t="n">
        <f aca="false">T47-(T47*4.6%)</f>
        <v>0</v>
      </c>
      <c r="V47" s="5" t="n">
        <v>0</v>
      </c>
      <c r="W47" s="24" t="n">
        <f aca="false">I47-V47</f>
        <v>0</v>
      </c>
      <c r="X47" s="24" t="n">
        <f aca="false">W47-U47</f>
        <v>0</v>
      </c>
      <c r="Y47" s="23" t="n">
        <v>0</v>
      </c>
      <c r="Z47" s="24" t="n">
        <f aca="false">G47*Y47</f>
        <v>0</v>
      </c>
      <c r="AA47" s="23" t="n">
        <v>0</v>
      </c>
      <c r="AB47" s="24" t="n">
        <f aca="false">J47*AA47</f>
        <v>0</v>
      </c>
      <c r="AC47" s="24" t="n">
        <f aca="false">Z47+AB47</f>
        <v>0</v>
      </c>
      <c r="AD47" s="24" t="n">
        <f aca="false">AC47-(AC47*11.5%)</f>
        <v>0</v>
      </c>
      <c r="AE47" s="25" t="n">
        <v>0</v>
      </c>
      <c r="AF47" s="24" t="n">
        <f aca="false">I47+J47-AE47</f>
        <v>0</v>
      </c>
      <c r="AG47" s="24" t="n">
        <f aca="false">AF47-AD47</f>
        <v>0</v>
      </c>
      <c r="AH47" s="24" t="n">
        <f aca="false">J47+U47-AD47</f>
        <v>0</v>
      </c>
    </row>
    <row r="48" customFormat="false" ht="15" hidden="false" customHeight="false" outlineLevel="0" collapsed="false">
      <c r="A48" s="19"/>
      <c r="B48" s="20"/>
      <c r="C48" s="21"/>
      <c r="D48" s="4"/>
      <c r="F48" s="5"/>
      <c r="G48" s="5"/>
      <c r="H48" s="5"/>
      <c r="I48" s="6"/>
      <c r="J48" s="7"/>
      <c r="K48" s="4"/>
      <c r="L48" s="4"/>
      <c r="M48" s="4"/>
      <c r="Q48" s="22"/>
      <c r="S48" s="23" t="n">
        <v>0</v>
      </c>
      <c r="T48" s="24" t="n">
        <f aca="false">H48*S48</f>
        <v>0</v>
      </c>
      <c r="U48" s="24" t="n">
        <f aca="false">T48-(T48*4.6%)</f>
        <v>0</v>
      </c>
      <c r="V48" s="5" t="n">
        <v>0</v>
      </c>
      <c r="W48" s="24" t="n">
        <f aca="false">I48-V48</f>
        <v>0</v>
      </c>
      <c r="X48" s="24" t="n">
        <f aca="false">W48-U48</f>
        <v>0</v>
      </c>
      <c r="Y48" s="23" t="n">
        <v>0</v>
      </c>
      <c r="Z48" s="24" t="n">
        <f aca="false">G48*Y48</f>
        <v>0</v>
      </c>
      <c r="AA48" s="23" t="n">
        <v>0</v>
      </c>
      <c r="AB48" s="24" t="n">
        <f aca="false">J48*AA48</f>
        <v>0</v>
      </c>
      <c r="AC48" s="24" t="n">
        <f aca="false">Z48+AB48</f>
        <v>0</v>
      </c>
      <c r="AD48" s="24" t="n">
        <f aca="false">AC48-(AC48*11.5%)</f>
        <v>0</v>
      </c>
      <c r="AE48" s="25" t="n">
        <v>0</v>
      </c>
      <c r="AF48" s="24" t="n">
        <f aca="false">I48+J48-AE48</f>
        <v>0</v>
      </c>
      <c r="AG48" s="24" t="n">
        <f aca="false">AF48-AD48</f>
        <v>0</v>
      </c>
      <c r="AH48" s="24" t="n">
        <f aca="false">J48+U48-AD48</f>
        <v>0</v>
      </c>
    </row>
    <row r="49" customFormat="false" ht="15" hidden="false" customHeight="false" outlineLevel="0" collapsed="false">
      <c r="A49" s="19"/>
      <c r="B49" s="20"/>
      <c r="C49" s="21"/>
      <c r="D49" s="4"/>
      <c r="F49" s="5"/>
      <c r="G49" s="5"/>
      <c r="H49" s="5"/>
      <c r="I49" s="6"/>
      <c r="J49" s="7"/>
      <c r="K49" s="4"/>
      <c r="L49" s="4"/>
      <c r="M49" s="4"/>
      <c r="Q49" s="22"/>
      <c r="S49" s="23" t="n">
        <v>0</v>
      </c>
      <c r="T49" s="24" t="n">
        <f aca="false">H49*S49</f>
        <v>0</v>
      </c>
      <c r="U49" s="24" t="n">
        <f aca="false">T49-(T49*4.6%)</f>
        <v>0</v>
      </c>
      <c r="V49" s="5" t="n">
        <v>0</v>
      </c>
      <c r="W49" s="24" t="n">
        <f aca="false">I49-V49</f>
        <v>0</v>
      </c>
      <c r="X49" s="24" t="n">
        <f aca="false">W49-U49</f>
        <v>0</v>
      </c>
      <c r="Y49" s="23" t="n">
        <v>0</v>
      </c>
      <c r="Z49" s="24" t="n">
        <f aca="false">G49*Y49</f>
        <v>0</v>
      </c>
      <c r="AA49" s="23" t="n">
        <v>0</v>
      </c>
      <c r="AB49" s="24" t="n">
        <f aca="false">J49*AA49</f>
        <v>0</v>
      </c>
      <c r="AC49" s="24" t="n">
        <f aca="false">Z49+AB49</f>
        <v>0</v>
      </c>
      <c r="AD49" s="24" t="n">
        <f aca="false">AC49-(AC49*11.5%)</f>
        <v>0</v>
      </c>
      <c r="AE49" s="25" t="n">
        <v>0</v>
      </c>
      <c r="AF49" s="24" t="n">
        <f aca="false">I49+J49-AE49</f>
        <v>0</v>
      </c>
      <c r="AG49" s="24" t="n">
        <f aca="false">AF49-AD49</f>
        <v>0</v>
      </c>
      <c r="AH49" s="24" t="n">
        <f aca="false">J49+U49-AD49</f>
        <v>0</v>
      </c>
    </row>
    <row r="50" customFormat="false" ht="15" hidden="false" customHeight="false" outlineLevel="0" collapsed="false">
      <c r="A50" s="19"/>
      <c r="B50" s="20"/>
      <c r="C50" s="21"/>
      <c r="D50" s="4"/>
      <c r="F50" s="5"/>
      <c r="G50" s="5"/>
      <c r="H50" s="5"/>
      <c r="I50" s="6"/>
      <c r="J50" s="7"/>
      <c r="K50" s="4"/>
      <c r="L50" s="4"/>
      <c r="M50" s="4"/>
      <c r="Q50" s="22"/>
      <c r="S50" s="23" t="n">
        <v>0</v>
      </c>
      <c r="T50" s="24" t="n">
        <f aca="false">H50*S50</f>
        <v>0</v>
      </c>
      <c r="U50" s="24" t="n">
        <f aca="false">T50-(T50*4.6%)</f>
        <v>0</v>
      </c>
      <c r="V50" s="5" t="n">
        <v>0</v>
      </c>
      <c r="W50" s="24" t="n">
        <f aca="false">I50-V50</f>
        <v>0</v>
      </c>
      <c r="X50" s="24" t="n">
        <f aca="false">W50-U50</f>
        <v>0</v>
      </c>
      <c r="Y50" s="23" t="n">
        <v>0</v>
      </c>
      <c r="Z50" s="24" t="n">
        <f aca="false">G50*Y50</f>
        <v>0</v>
      </c>
      <c r="AA50" s="23" t="n">
        <v>0</v>
      </c>
      <c r="AB50" s="24" t="n">
        <f aca="false">J50*AA50</f>
        <v>0</v>
      </c>
      <c r="AC50" s="24" t="n">
        <f aca="false">Z50+AB50</f>
        <v>0</v>
      </c>
      <c r="AD50" s="24" t="n">
        <f aca="false">AC50-(AC50*11.5%)</f>
        <v>0</v>
      </c>
      <c r="AE50" s="25" t="n">
        <v>0</v>
      </c>
      <c r="AF50" s="24" t="n">
        <f aca="false">I50+J50-AE50</f>
        <v>0</v>
      </c>
      <c r="AG50" s="24" t="n">
        <f aca="false">AF50-AD50</f>
        <v>0</v>
      </c>
      <c r="AH50" s="24" t="n">
        <f aca="false">J50+U50-AD50</f>
        <v>0</v>
      </c>
    </row>
    <row r="51" customFormat="false" ht="15" hidden="false" customHeight="false" outlineLevel="0" collapsed="false">
      <c r="A51" s="19"/>
      <c r="B51" s="20"/>
      <c r="C51" s="21"/>
      <c r="D51" s="4"/>
      <c r="F51" s="5"/>
      <c r="G51" s="5"/>
      <c r="H51" s="5"/>
      <c r="I51" s="6"/>
      <c r="J51" s="7"/>
      <c r="K51" s="4"/>
      <c r="L51" s="4"/>
      <c r="M51" s="4"/>
      <c r="Q51" s="22"/>
      <c r="S51" s="23" t="n">
        <v>0</v>
      </c>
      <c r="T51" s="24" t="n">
        <f aca="false">H51*S51</f>
        <v>0</v>
      </c>
      <c r="U51" s="24" t="n">
        <f aca="false">T51-(T51*4.6%)</f>
        <v>0</v>
      </c>
      <c r="V51" s="5" t="n">
        <v>0</v>
      </c>
      <c r="W51" s="24" t="n">
        <f aca="false">I51-V51</f>
        <v>0</v>
      </c>
      <c r="X51" s="24" t="n">
        <f aca="false">W51-U51</f>
        <v>0</v>
      </c>
      <c r="Y51" s="23" t="n">
        <v>0</v>
      </c>
      <c r="Z51" s="24" t="n">
        <f aca="false">G51*Y51</f>
        <v>0</v>
      </c>
      <c r="AA51" s="23" t="n">
        <v>0</v>
      </c>
      <c r="AB51" s="24" t="n">
        <f aca="false">J51*AA51</f>
        <v>0</v>
      </c>
      <c r="AC51" s="24" t="n">
        <f aca="false">Z51+AB51</f>
        <v>0</v>
      </c>
      <c r="AD51" s="24" t="n">
        <f aca="false">AC51-(AC51*11.5%)</f>
        <v>0</v>
      </c>
      <c r="AE51" s="25" t="n">
        <v>0</v>
      </c>
      <c r="AF51" s="24" t="n">
        <f aca="false">I51+J51-AE51</f>
        <v>0</v>
      </c>
      <c r="AG51" s="24" t="n">
        <f aca="false">AF51-AD51</f>
        <v>0</v>
      </c>
      <c r="AH51" s="24" t="n">
        <f aca="false">J51+U51-AD51</f>
        <v>0</v>
      </c>
    </row>
    <row r="52" customFormat="false" ht="15" hidden="false" customHeight="false" outlineLevel="0" collapsed="false">
      <c r="A52" s="19"/>
      <c r="B52" s="20"/>
      <c r="C52" s="21"/>
      <c r="D52" s="4"/>
      <c r="F52" s="5"/>
      <c r="G52" s="5"/>
      <c r="H52" s="5"/>
      <c r="I52" s="6"/>
      <c r="J52" s="7"/>
      <c r="K52" s="4"/>
      <c r="L52" s="4"/>
      <c r="M52" s="4"/>
      <c r="Q52" s="22"/>
      <c r="S52" s="23" t="n">
        <v>0</v>
      </c>
      <c r="T52" s="24" t="n">
        <f aca="false">H52*S52</f>
        <v>0</v>
      </c>
      <c r="U52" s="24" t="n">
        <f aca="false">T52-(T52*4.6%)</f>
        <v>0</v>
      </c>
      <c r="V52" s="5" t="n">
        <v>0</v>
      </c>
      <c r="W52" s="24" t="n">
        <f aca="false">I52-V52</f>
        <v>0</v>
      </c>
      <c r="X52" s="24" t="n">
        <f aca="false">W52-U52</f>
        <v>0</v>
      </c>
      <c r="Y52" s="23" t="n">
        <v>0</v>
      </c>
      <c r="Z52" s="24" t="n">
        <f aca="false">G52*Y52</f>
        <v>0</v>
      </c>
      <c r="AA52" s="23" t="n">
        <v>0</v>
      </c>
      <c r="AB52" s="24" t="n">
        <f aca="false">J52*AA52</f>
        <v>0</v>
      </c>
      <c r="AC52" s="24" t="n">
        <f aca="false">Z52+AB52</f>
        <v>0</v>
      </c>
      <c r="AD52" s="24" t="n">
        <f aca="false">AC52-(AC52*11.5%)</f>
        <v>0</v>
      </c>
      <c r="AE52" s="25" t="n">
        <v>0</v>
      </c>
      <c r="AF52" s="24" t="n">
        <f aca="false">I52+J52-AE52</f>
        <v>0</v>
      </c>
      <c r="AG52" s="24" t="n">
        <f aca="false">AF52-AD52</f>
        <v>0</v>
      </c>
      <c r="AH52" s="24" t="n">
        <f aca="false">J52+U52-AD52</f>
        <v>0</v>
      </c>
    </row>
    <row r="53" customFormat="false" ht="15" hidden="false" customHeight="false" outlineLevel="0" collapsed="false">
      <c r="A53" s="19"/>
      <c r="B53" s="20"/>
      <c r="C53" s="21"/>
      <c r="D53" s="4"/>
      <c r="F53" s="5"/>
      <c r="G53" s="5"/>
      <c r="H53" s="5"/>
      <c r="I53" s="6"/>
      <c r="J53" s="7"/>
      <c r="K53" s="4"/>
      <c r="L53" s="4"/>
      <c r="M53" s="4"/>
      <c r="Q53" s="22"/>
      <c r="S53" s="23" t="n">
        <v>0</v>
      </c>
      <c r="T53" s="24" t="n">
        <f aca="false">H53*S53</f>
        <v>0</v>
      </c>
      <c r="U53" s="24" t="n">
        <f aca="false">T53-(T53*4.6%)</f>
        <v>0</v>
      </c>
      <c r="V53" s="5" t="n">
        <v>0</v>
      </c>
      <c r="W53" s="24" t="n">
        <f aca="false">I53-V53</f>
        <v>0</v>
      </c>
      <c r="X53" s="24" t="n">
        <f aca="false">W53-U53</f>
        <v>0</v>
      </c>
      <c r="Y53" s="23" t="n">
        <v>0</v>
      </c>
      <c r="Z53" s="24" t="n">
        <f aca="false">G53*Y53</f>
        <v>0</v>
      </c>
      <c r="AA53" s="23" t="n">
        <v>0</v>
      </c>
      <c r="AB53" s="24" t="n">
        <f aca="false">J53*AA53</f>
        <v>0</v>
      </c>
      <c r="AC53" s="24" t="n">
        <f aca="false">Z53+AB53</f>
        <v>0</v>
      </c>
      <c r="AD53" s="24" t="n">
        <f aca="false">AC53-(AC53*11.5%)</f>
        <v>0</v>
      </c>
      <c r="AE53" s="25" t="n">
        <v>0</v>
      </c>
      <c r="AF53" s="24" t="n">
        <f aca="false">I53+J53-AE53</f>
        <v>0</v>
      </c>
      <c r="AG53" s="24" t="n">
        <f aca="false">AF53-AD53</f>
        <v>0</v>
      </c>
      <c r="AH53" s="24" t="n">
        <f aca="false">J53+U53-AD53</f>
        <v>0</v>
      </c>
    </row>
    <row r="54" customFormat="false" ht="15" hidden="false" customHeight="false" outlineLevel="0" collapsed="false">
      <c r="A54" s="19"/>
      <c r="B54" s="20"/>
      <c r="C54" s="21"/>
      <c r="D54" s="4"/>
      <c r="F54" s="5"/>
      <c r="G54" s="5"/>
      <c r="H54" s="5"/>
      <c r="I54" s="6"/>
      <c r="J54" s="7"/>
      <c r="K54" s="4"/>
      <c r="L54" s="4"/>
      <c r="M54" s="4"/>
      <c r="Q54" s="22"/>
      <c r="S54" s="23" t="n">
        <v>0</v>
      </c>
      <c r="T54" s="24" t="n">
        <f aca="false">H54*S54</f>
        <v>0</v>
      </c>
      <c r="U54" s="24" t="n">
        <f aca="false">T54-(T54*4.6%)</f>
        <v>0</v>
      </c>
      <c r="V54" s="5" t="n">
        <v>0</v>
      </c>
      <c r="W54" s="24" t="n">
        <f aca="false">I54-V54</f>
        <v>0</v>
      </c>
      <c r="X54" s="24" t="n">
        <f aca="false">W54-U54</f>
        <v>0</v>
      </c>
      <c r="Y54" s="23" t="n">
        <v>0</v>
      </c>
      <c r="Z54" s="24" t="n">
        <f aca="false">G54*Y54</f>
        <v>0</v>
      </c>
      <c r="AA54" s="23" t="n">
        <v>0</v>
      </c>
      <c r="AB54" s="24" t="n">
        <f aca="false">J54*AA54</f>
        <v>0</v>
      </c>
      <c r="AC54" s="24" t="n">
        <f aca="false">Z54+AB54</f>
        <v>0</v>
      </c>
      <c r="AD54" s="24" t="n">
        <f aca="false">AC54-(AC54*11.5%)</f>
        <v>0</v>
      </c>
      <c r="AE54" s="25" t="n">
        <v>0</v>
      </c>
      <c r="AF54" s="24" t="n">
        <f aca="false">I54+J54-AE54</f>
        <v>0</v>
      </c>
      <c r="AG54" s="24" t="n">
        <f aca="false">AF54-AD54</f>
        <v>0</v>
      </c>
      <c r="AH54" s="24" t="n">
        <f aca="false">J54+U54-AD54</f>
        <v>0</v>
      </c>
    </row>
    <row r="55" customFormat="false" ht="15" hidden="false" customHeight="false" outlineLevel="0" collapsed="false">
      <c r="A55" s="19"/>
      <c r="B55" s="20"/>
      <c r="C55" s="21"/>
      <c r="D55" s="4"/>
      <c r="F55" s="5"/>
      <c r="G55" s="5"/>
      <c r="H55" s="5"/>
      <c r="I55" s="6"/>
      <c r="J55" s="7"/>
      <c r="K55" s="4"/>
      <c r="L55" s="4"/>
      <c r="M55" s="4"/>
      <c r="Q55" s="22"/>
      <c r="S55" s="23" t="n">
        <v>0</v>
      </c>
      <c r="T55" s="24" t="n">
        <f aca="false">H55*S55</f>
        <v>0</v>
      </c>
      <c r="U55" s="24" t="n">
        <f aca="false">T55-(T55*4.6%)</f>
        <v>0</v>
      </c>
      <c r="V55" s="5" t="n">
        <v>0</v>
      </c>
      <c r="W55" s="24" t="n">
        <f aca="false">I55-V55</f>
        <v>0</v>
      </c>
      <c r="X55" s="24" t="n">
        <f aca="false">W55-U55</f>
        <v>0</v>
      </c>
      <c r="Y55" s="23" t="n">
        <v>0</v>
      </c>
      <c r="Z55" s="24" t="n">
        <f aca="false">G55*Y55</f>
        <v>0</v>
      </c>
      <c r="AA55" s="23" t="n">
        <v>0</v>
      </c>
      <c r="AB55" s="24" t="n">
        <f aca="false">J55*AA55</f>
        <v>0</v>
      </c>
      <c r="AC55" s="24" t="n">
        <f aca="false">Z55+AB55</f>
        <v>0</v>
      </c>
      <c r="AD55" s="24" t="n">
        <f aca="false">AC55-(AC55*11.5%)</f>
        <v>0</v>
      </c>
      <c r="AE55" s="25" t="n">
        <v>0</v>
      </c>
      <c r="AF55" s="24" t="n">
        <f aca="false">I55+J55-AE55</f>
        <v>0</v>
      </c>
      <c r="AG55" s="24" t="n">
        <f aca="false">AF55-AD55</f>
        <v>0</v>
      </c>
      <c r="AH55" s="24" t="n">
        <f aca="false">J55+U55-AD55</f>
        <v>0</v>
      </c>
    </row>
    <row r="56" customFormat="false" ht="15" hidden="false" customHeight="false" outlineLevel="0" collapsed="false">
      <c r="A56" s="19"/>
      <c r="B56" s="20"/>
      <c r="C56" s="21"/>
      <c r="D56" s="4"/>
      <c r="F56" s="5"/>
      <c r="G56" s="5"/>
      <c r="H56" s="5"/>
      <c r="I56" s="6"/>
      <c r="J56" s="7"/>
      <c r="K56" s="4"/>
      <c r="L56" s="4"/>
      <c r="M56" s="4"/>
      <c r="Q56" s="22"/>
      <c r="S56" s="23" t="n">
        <v>0</v>
      </c>
      <c r="T56" s="24" t="n">
        <f aca="false">H56*S56</f>
        <v>0</v>
      </c>
      <c r="U56" s="24" t="n">
        <f aca="false">T56-(T56*4.6%)</f>
        <v>0</v>
      </c>
      <c r="V56" s="5" t="n">
        <v>0</v>
      </c>
      <c r="W56" s="24" t="n">
        <f aca="false">I56-V56</f>
        <v>0</v>
      </c>
      <c r="X56" s="24" t="n">
        <f aca="false">W56-U56</f>
        <v>0</v>
      </c>
      <c r="Y56" s="23" t="n">
        <v>0</v>
      </c>
      <c r="Z56" s="24" t="n">
        <f aca="false">G56*Y56</f>
        <v>0</v>
      </c>
      <c r="AA56" s="23" t="n">
        <v>0</v>
      </c>
      <c r="AB56" s="24" t="n">
        <f aca="false">J56*AA56</f>
        <v>0</v>
      </c>
      <c r="AC56" s="24" t="n">
        <f aca="false">Z56+AB56</f>
        <v>0</v>
      </c>
      <c r="AD56" s="24" t="n">
        <f aca="false">AC56-(AC56*11.5%)</f>
        <v>0</v>
      </c>
      <c r="AE56" s="25" t="n">
        <v>0</v>
      </c>
      <c r="AF56" s="24" t="n">
        <f aca="false">I56+J56-AE56</f>
        <v>0</v>
      </c>
      <c r="AG56" s="24" t="n">
        <f aca="false">AF56-AD56</f>
        <v>0</v>
      </c>
      <c r="AH56" s="24" t="n">
        <f aca="false">J56+U56-AD56</f>
        <v>0</v>
      </c>
    </row>
    <row r="57" customFormat="false" ht="15" hidden="false" customHeight="false" outlineLevel="0" collapsed="false">
      <c r="A57" s="19"/>
      <c r="B57" s="20"/>
      <c r="C57" s="21"/>
      <c r="D57" s="4"/>
      <c r="F57" s="5"/>
      <c r="G57" s="5"/>
      <c r="H57" s="5"/>
      <c r="I57" s="6"/>
      <c r="J57" s="7"/>
      <c r="K57" s="4"/>
      <c r="L57" s="4"/>
      <c r="M57" s="4"/>
      <c r="Q57" s="22"/>
      <c r="S57" s="23" t="n">
        <v>0</v>
      </c>
      <c r="T57" s="24" t="n">
        <f aca="false">H57*S57</f>
        <v>0</v>
      </c>
      <c r="U57" s="24" t="n">
        <f aca="false">T57-(T57*4.6%)</f>
        <v>0</v>
      </c>
      <c r="V57" s="5" t="n">
        <v>0</v>
      </c>
      <c r="W57" s="24" t="n">
        <f aca="false">I57-V57</f>
        <v>0</v>
      </c>
      <c r="X57" s="24" t="n">
        <f aca="false">W57-U57</f>
        <v>0</v>
      </c>
      <c r="Y57" s="23" t="n">
        <v>0</v>
      </c>
      <c r="Z57" s="24" t="n">
        <f aca="false">G57*Y57</f>
        <v>0</v>
      </c>
      <c r="AA57" s="23" t="n">
        <v>0</v>
      </c>
      <c r="AB57" s="24" t="n">
        <f aca="false">J57*AA57</f>
        <v>0</v>
      </c>
      <c r="AC57" s="24" t="n">
        <f aca="false">Z57+AB57</f>
        <v>0</v>
      </c>
      <c r="AD57" s="24" t="n">
        <f aca="false">AC57-(AC57*11.5%)</f>
        <v>0</v>
      </c>
      <c r="AE57" s="25" t="n">
        <v>0</v>
      </c>
      <c r="AF57" s="24" t="n">
        <f aca="false">I57+J57-AE57</f>
        <v>0</v>
      </c>
      <c r="AG57" s="24" t="n">
        <f aca="false">AF57-AD57</f>
        <v>0</v>
      </c>
      <c r="AH57" s="24" t="n">
        <f aca="false">J57+U57-AD57</f>
        <v>0</v>
      </c>
    </row>
    <row r="58" customFormat="false" ht="15" hidden="false" customHeight="false" outlineLevel="0" collapsed="false">
      <c r="A58" s="19"/>
      <c r="B58" s="20"/>
      <c r="C58" s="21"/>
      <c r="D58" s="4"/>
      <c r="F58" s="5"/>
      <c r="G58" s="5"/>
      <c r="H58" s="5"/>
      <c r="I58" s="6"/>
      <c r="J58" s="7"/>
      <c r="K58" s="4"/>
      <c r="L58" s="4"/>
      <c r="M58" s="4"/>
      <c r="Q58" s="22"/>
      <c r="S58" s="23" t="n">
        <v>0</v>
      </c>
      <c r="T58" s="24" t="n">
        <f aca="false">H58*S58</f>
        <v>0</v>
      </c>
      <c r="U58" s="24" t="n">
        <f aca="false">T58-(T58*4.6%)</f>
        <v>0</v>
      </c>
      <c r="V58" s="5" t="n">
        <v>0</v>
      </c>
      <c r="W58" s="24" t="n">
        <f aca="false">I58-V58</f>
        <v>0</v>
      </c>
      <c r="X58" s="24" t="n">
        <f aca="false">W58-U58</f>
        <v>0</v>
      </c>
      <c r="Y58" s="23" t="n">
        <v>0</v>
      </c>
      <c r="Z58" s="24" t="n">
        <f aca="false">G58*Y58</f>
        <v>0</v>
      </c>
      <c r="AA58" s="23" t="n">
        <v>0</v>
      </c>
      <c r="AB58" s="24" t="n">
        <f aca="false">J58*AA58</f>
        <v>0</v>
      </c>
      <c r="AC58" s="24" t="n">
        <f aca="false">Z58+AB58</f>
        <v>0</v>
      </c>
      <c r="AD58" s="24" t="n">
        <f aca="false">AC58-(AC58*11.5%)</f>
        <v>0</v>
      </c>
      <c r="AE58" s="25" t="n">
        <v>0</v>
      </c>
      <c r="AF58" s="24" t="n">
        <f aca="false">I58+J58-AE58</f>
        <v>0</v>
      </c>
      <c r="AG58" s="24" t="n">
        <f aca="false">AF58-AD58</f>
        <v>0</v>
      </c>
      <c r="AH58" s="24" t="n">
        <f aca="false">J58+U58-AD58</f>
        <v>0</v>
      </c>
    </row>
    <row r="59" customFormat="false" ht="15" hidden="false" customHeight="false" outlineLevel="0" collapsed="false">
      <c r="A59" s="19"/>
      <c r="B59" s="20"/>
      <c r="C59" s="21"/>
      <c r="D59" s="4"/>
      <c r="F59" s="5"/>
      <c r="G59" s="5"/>
      <c r="H59" s="5"/>
      <c r="I59" s="6"/>
      <c r="J59" s="7"/>
      <c r="K59" s="4"/>
      <c r="L59" s="4"/>
      <c r="M59" s="4"/>
      <c r="Q59" s="22"/>
      <c r="S59" s="23" t="n">
        <v>0</v>
      </c>
      <c r="T59" s="24" t="n">
        <f aca="false">H59*S59</f>
        <v>0</v>
      </c>
      <c r="U59" s="24" t="n">
        <f aca="false">T59-(T59*4.6%)</f>
        <v>0</v>
      </c>
      <c r="V59" s="5" t="n">
        <v>0</v>
      </c>
      <c r="W59" s="24" t="n">
        <f aca="false">I59-V59</f>
        <v>0</v>
      </c>
      <c r="X59" s="24" t="n">
        <f aca="false">W59-U59</f>
        <v>0</v>
      </c>
      <c r="Y59" s="23" t="n">
        <v>0</v>
      </c>
      <c r="Z59" s="24" t="n">
        <f aca="false">G59*Y59</f>
        <v>0</v>
      </c>
      <c r="AA59" s="23" t="n">
        <v>0</v>
      </c>
      <c r="AB59" s="24" t="n">
        <f aca="false">J59*AA59</f>
        <v>0</v>
      </c>
      <c r="AC59" s="24" t="n">
        <f aca="false">Z59+AB59</f>
        <v>0</v>
      </c>
      <c r="AD59" s="24" t="n">
        <f aca="false">AC59-(AC59*11.5%)</f>
        <v>0</v>
      </c>
      <c r="AE59" s="25" t="n">
        <v>0</v>
      </c>
      <c r="AF59" s="24" t="n">
        <f aca="false">I59+J59-AE59</f>
        <v>0</v>
      </c>
      <c r="AG59" s="24" t="n">
        <f aca="false">AF59-AD59</f>
        <v>0</v>
      </c>
      <c r="AH59" s="24" t="n">
        <f aca="false">J59+U59-AD59</f>
        <v>0</v>
      </c>
    </row>
    <row r="60" customFormat="false" ht="15" hidden="false" customHeight="false" outlineLevel="0" collapsed="false">
      <c r="A60" s="19"/>
      <c r="B60" s="20"/>
      <c r="C60" s="21"/>
      <c r="D60" s="4"/>
      <c r="F60" s="5"/>
      <c r="G60" s="5"/>
      <c r="H60" s="5"/>
      <c r="I60" s="6"/>
      <c r="J60" s="7"/>
      <c r="K60" s="4"/>
      <c r="L60" s="4"/>
      <c r="M60" s="4"/>
      <c r="Q60" s="22"/>
      <c r="S60" s="23" t="n">
        <v>0</v>
      </c>
      <c r="T60" s="24" t="n">
        <f aca="false">H60*S60</f>
        <v>0</v>
      </c>
      <c r="U60" s="24" t="n">
        <f aca="false">T60-(T60*4.6%)</f>
        <v>0</v>
      </c>
      <c r="V60" s="5" t="n">
        <v>0</v>
      </c>
      <c r="W60" s="24" t="n">
        <f aca="false">I60-V60</f>
        <v>0</v>
      </c>
      <c r="X60" s="24" t="n">
        <f aca="false">W60-U60</f>
        <v>0</v>
      </c>
      <c r="Y60" s="23" t="n">
        <v>0</v>
      </c>
      <c r="Z60" s="24" t="n">
        <f aca="false">G60*Y60</f>
        <v>0</v>
      </c>
      <c r="AA60" s="23" t="n">
        <v>0</v>
      </c>
      <c r="AB60" s="24" t="n">
        <f aca="false">J60*AA60</f>
        <v>0</v>
      </c>
      <c r="AC60" s="24" t="n">
        <f aca="false">Z60+AB60</f>
        <v>0</v>
      </c>
      <c r="AD60" s="24" t="n">
        <f aca="false">AC60-(AC60*11.5%)</f>
        <v>0</v>
      </c>
      <c r="AE60" s="25" t="n">
        <v>0</v>
      </c>
      <c r="AF60" s="24" t="n">
        <f aca="false">I60+J60-AE60</f>
        <v>0</v>
      </c>
      <c r="AG60" s="24" t="n">
        <f aca="false">AF60-AD60</f>
        <v>0</v>
      </c>
      <c r="AH60" s="24" t="n">
        <f aca="false">J60+U60-AD60</f>
        <v>0</v>
      </c>
    </row>
    <row r="61" customFormat="false" ht="15" hidden="false" customHeight="false" outlineLevel="0" collapsed="false">
      <c r="A61" s="19"/>
      <c r="B61" s="20"/>
      <c r="C61" s="21"/>
      <c r="D61" s="4"/>
      <c r="F61" s="5"/>
      <c r="G61" s="5"/>
      <c r="H61" s="5"/>
      <c r="I61" s="6"/>
      <c r="J61" s="7"/>
      <c r="K61" s="4"/>
      <c r="L61" s="4"/>
      <c r="M61" s="4"/>
      <c r="Q61" s="22"/>
      <c r="S61" s="23" t="n">
        <v>0</v>
      </c>
      <c r="T61" s="24" t="n">
        <f aca="false">H61*S61</f>
        <v>0</v>
      </c>
      <c r="U61" s="24" t="n">
        <f aca="false">T61-(T61*4.6%)</f>
        <v>0</v>
      </c>
      <c r="V61" s="5" t="n">
        <v>0</v>
      </c>
      <c r="W61" s="24" t="n">
        <f aca="false">I61-V61</f>
        <v>0</v>
      </c>
      <c r="X61" s="24" t="n">
        <f aca="false">W61-U61</f>
        <v>0</v>
      </c>
      <c r="Y61" s="23" t="n">
        <v>0</v>
      </c>
      <c r="Z61" s="24" t="n">
        <f aca="false">G61*Y61</f>
        <v>0</v>
      </c>
      <c r="AA61" s="23" t="n">
        <v>0</v>
      </c>
      <c r="AB61" s="24" t="n">
        <f aca="false">J61*AA61</f>
        <v>0</v>
      </c>
      <c r="AC61" s="24" t="n">
        <f aca="false">Z61+AB61</f>
        <v>0</v>
      </c>
      <c r="AD61" s="24" t="n">
        <f aca="false">AC61-(AC61*11.5%)</f>
        <v>0</v>
      </c>
      <c r="AE61" s="25" t="n">
        <v>0</v>
      </c>
      <c r="AF61" s="24" t="n">
        <f aca="false">I61+J61-AE61</f>
        <v>0</v>
      </c>
      <c r="AG61" s="24" t="n">
        <f aca="false">AF61-AD61</f>
        <v>0</v>
      </c>
      <c r="AH61" s="24" t="n">
        <f aca="false">J61+U61-AD61</f>
        <v>0</v>
      </c>
    </row>
    <row r="62" customFormat="false" ht="15" hidden="false" customHeight="false" outlineLevel="0" collapsed="false">
      <c r="A62" s="19"/>
      <c r="B62" s="20"/>
      <c r="C62" s="21"/>
      <c r="D62" s="4"/>
      <c r="F62" s="5"/>
      <c r="G62" s="5"/>
      <c r="H62" s="5"/>
      <c r="I62" s="6"/>
      <c r="J62" s="7"/>
      <c r="K62" s="4"/>
      <c r="L62" s="4"/>
      <c r="M62" s="4"/>
      <c r="Q62" s="22"/>
      <c r="S62" s="23" t="n">
        <v>0</v>
      </c>
      <c r="T62" s="24" t="n">
        <f aca="false">H62*S62</f>
        <v>0</v>
      </c>
      <c r="U62" s="24" t="n">
        <f aca="false">T62-(T62*4.6%)</f>
        <v>0</v>
      </c>
      <c r="V62" s="5" t="n">
        <v>0</v>
      </c>
      <c r="W62" s="24" t="n">
        <f aca="false">I62-V62</f>
        <v>0</v>
      </c>
      <c r="X62" s="24" t="n">
        <f aca="false">W62-U62</f>
        <v>0</v>
      </c>
      <c r="Y62" s="23" t="n">
        <v>0</v>
      </c>
      <c r="Z62" s="24" t="n">
        <f aca="false">G62*Y62</f>
        <v>0</v>
      </c>
      <c r="AA62" s="23" t="n">
        <v>0</v>
      </c>
      <c r="AB62" s="24" t="n">
        <f aca="false">J62*AA62</f>
        <v>0</v>
      </c>
      <c r="AC62" s="24" t="n">
        <f aca="false">Z62+AB62</f>
        <v>0</v>
      </c>
      <c r="AD62" s="24" t="n">
        <f aca="false">AC62-(AC62*11.5%)</f>
        <v>0</v>
      </c>
      <c r="AE62" s="25" t="n">
        <v>0</v>
      </c>
      <c r="AF62" s="24" t="n">
        <f aca="false">I62+J62-AE62</f>
        <v>0</v>
      </c>
      <c r="AG62" s="24" t="n">
        <f aca="false">AF62-AD62</f>
        <v>0</v>
      </c>
      <c r="AH62" s="24" t="n">
        <f aca="false">J62+U62-AD62</f>
        <v>0</v>
      </c>
    </row>
    <row r="63" customFormat="false" ht="15" hidden="false" customHeight="false" outlineLevel="0" collapsed="false">
      <c r="A63" s="19"/>
      <c r="B63" s="20"/>
      <c r="C63" s="21"/>
      <c r="D63" s="4"/>
      <c r="F63" s="5"/>
      <c r="G63" s="5"/>
      <c r="H63" s="5"/>
      <c r="I63" s="6"/>
      <c r="J63" s="7"/>
      <c r="K63" s="4"/>
      <c r="L63" s="4"/>
      <c r="M63" s="4"/>
      <c r="Q63" s="22"/>
      <c r="S63" s="23" t="n">
        <v>0</v>
      </c>
      <c r="T63" s="24" t="n">
        <f aca="false">H63*S63</f>
        <v>0</v>
      </c>
      <c r="U63" s="24" t="n">
        <f aca="false">T63-(T63*4.6%)</f>
        <v>0</v>
      </c>
      <c r="V63" s="5" t="n">
        <v>0</v>
      </c>
      <c r="W63" s="24" t="n">
        <f aca="false">I63-V63</f>
        <v>0</v>
      </c>
      <c r="X63" s="24" t="n">
        <f aca="false">W63-U63</f>
        <v>0</v>
      </c>
      <c r="Y63" s="23" t="n">
        <v>0</v>
      </c>
      <c r="Z63" s="24" t="n">
        <f aca="false">G63*Y63</f>
        <v>0</v>
      </c>
      <c r="AA63" s="23" t="n">
        <v>0</v>
      </c>
      <c r="AB63" s="24" t="n">
        <f aca="false">J63*AA63</f>
        <v>0</v>
      </c>
      <c r="AC63" s="24" t="n">
        <f aca="false">Z63+AB63</f>
        <v>0</v>
      </c>
      <c r="AD63" s="24" t="n">
        <f aca="false">AC63-(AC63*11.5%)</f>
        <v>0</v>
      </c>
      <c r="AE63" s="25" t="n">
        <v>0</v>
      </c>
      <c r="AF63" s="24" t="n">
        <f aca="false">I63+J63-AE63</f>
        <v>0</v>
      </c>
      <c r="AG63" s="24" t="n">
        <f aca="false">AF63-AD63</f>
        <v>0</v>
      </c>
      <c r="AH63" s="24" t="n">
        <f aca="false">J63+U63-AD63</f>
        <v>0</v>
      </c>
    </row>
    <row r="64" customFormat="false" ht="15" hidden="false" customHeight="false" outlineLevel="0" collapsed="false">
      <c r="A64" s="19"/>
      <c r="B64" s="20"/>
      <c r="C64" s="21"/>
      <c r="D64" s="4"/>
      <c r="F64" s="5"/>
      <c r="G64" s="5"/>
      <c r="H64" s="5"/>
      <c r="I64" s="6"/>
      <c r="J64" s="7"/>
      <c r="K64" s="4"/>
      <c r="L64" s="4"/>
      <c r="M64" s="4"/>
      <c r="Q64" s="22"/>
      <c r="S64" s="23" t="n">
        <v>0</v>
      </c>
      <c r="T64" s="24" t="n">
        <f aca="false">H64*S64</f>
        <v>0</v>
      </c>
      <c r="U64" s="24" t="n">
        <f aca="false">T64-(T64*4.6%)</f>
        <v>0</v>
      </c>
      <c r="V64" s="5" t="n">
        <v>0</v>
      </c>
      <c r="W64" s="24" t="n">
        <f aca="false">I64-V64</f>
        <v>0</v>
      </c>
      <c r="X64" s="24" t="n">
        <f aca="false">W64-U64</f>
        <v>0</v>
      </c>
      <c r="Y64" s="23" t="n">
        <v>0</v>
      </c>
      <c r="Z64" s="24" t="n">
        <f aca="false">G64*Y64</f>
        <v>0</v>
      </c>
      <c r="AA64" s="23" t="n">
        <v>0</v>
      </c>
      <c r="AB64" s="24" t="n">
        <f aca="false">J64*AA64</f>
        <v>0</v>
      </c>
      <c r="AC64" s="24" t="n">
        <f aca="false">Z64+AB64</f>
        <v>0</v>
      </c>
      <c r="AD64" s="24" t="n">
        <f aca="false">AC64-(AC64*11.5%)</f>
        <v>0</v>
      </c>
      <c r="AE64" s="25" t="n">
        <v>0</v>
      </c>
      <c r="AF64" s="24" t="n">
        <f aca="false">I64+J64-AE64</f>
        <v>0</v>
      </c>
      <c r="AG64" s="24" t="n">
        <f aca="false">AF64-AD64</f>
        <v>0</v>
      </c>
      <c r="AH64" s="24" t="n">
        <f aca="false">J64+U64-AD64</f>
        <v>0</v>
      </c>
    </row>
    <row r="65" customFormat="false" ht="15" hidden="false" customHeight="false" outlineLevel="0" collapsed="false">
      <c r="A65" s="19"/>
      <c r="B65" s="20"/>
      <c r="C65" s="21"/>
      <c r="D65" s="4"/>
      <c r="F65" s="5"/>
      <c r="G65" s="5"/>
      <c r="H65" s="5"/>
      <c r="I65" s="6"/>
      <c r="J65" s="7"/>
      <c r="K65" s="4"/>
      <c r="L65" s="4"/>
      <c r="M65" s="4"/>
      <c r="Q65" s="22"/>
      <c r="S65" s="23" t="n">
        <v>0</v>
      </c>
      <c r="T65" s="24" t="n">
        <f aca="false">H65*S65</f>
        <v>0</v>
      </c>
      <c r="U65" s="24" t="n">
        <f aca="false">T65-(T65*4.6%)</f>
        <v>0</v>
      </c>
      <c r="V65" s="5" t="n">
        <v>0</v>
      </c>
      <c r="W65" s="24" t="n">
        <f aca="false">I65-V65</f>
        <v>0</v>
      </c>
      <c r="X65" s="24" t="n">
        <f aca="false">W65-U65</f>
        <v>0</v>
      </c>
      <c r="Y65" s="23" t="n">
        <v>0</v>
      </c>
      <c r="Z65" s="24" t="n">
        <f aca="false">G65*Y65</f>
        <v>0</v>
      </c>
      <c r="AA65" s="23" t="n">
        <v>0</v>
      </c>
      <c r="AB65" s="24" t="n">
        <f aca="false">J65*AA65</f>
        <v>0</v>
      </c>
      <c r="AC65" s="24" t="n">
        <f aca="false">Z65+AB65</f>
        <v>0</v>
      </c>
      <c r="AD65" s="24" t="n">
        <f aca="false">AC65-(AC65*11.5%)</f>
        <v>0</v>
      </c>
      <c r="AE65" s="25" t="n">
        <v>0</v>
      </c>
      <c r="AF65" s="24" t="n">
        <f aca="false">I65+J65-AE65</f>
        <v>0</v>
      </c>
      <c r="AG65" s="24" t="n">
        <f aca="false">AF65-AD65</f>
        <v>0</v>
      </c>
      <c r="AH65" s="24" t="n">
        <f aca="false">J65+U65-AD65</f>
        <v>0</v>
      </c>
    </row>
    <row r="66" customFormat="false" ht="15" hidden="false" customHeight="false" outlineLevel="0" collapsed="false">
      <c r="A66" s="19"/>
      <c r="B66" s="20"/>
      <c r="C66" s="21"/>
      <c r="D66" s="4"/>
      <c r="F66" s="5"/>
      <c r="G66" s="5"/>
      <c r="H66" s="5"/>
      <c r="I66" s="6"/>
      <c r="J66" s="7"/>
      <c r="K66" s="4"/>
      <c r="L66" s="4"/>
      <c r="M66" s="4"/>
      <c r="Q66" s="22"/>
      <c r="S66" s="23" t="n">
        <v>0</v>
      </c>
      <c r="T66" s="24" t="n">
        <f aca="false">H66*S66</f>
        <v>0</v>
      </c>
      <c r="U66" s="24" t="n">
        <f aca="false">T66-(T66*4.6%)</f>
        <v>0</v>
      </c>
      <c r="V66" s="5" t="n">
        <v>0</v>
      </c>
      <c r="W66" s="24" t="n">
        <f aca="false">I66-V66</f>
        <v>0</v>
      </c>
      <c r="X66" s="24" t="n">
        <f aca="false">W66-U66</f>
        <v>0</v>
      </c>
      <c r="Y66" s="23" t="n">
        <v>0</v>
      </c>
      <c r="Z66" s="24" t="n">
        <f aca="false">G66*Y66</f>
        <v>0</v>
      </c>
      <c r="AA66" s="23" t="n">
        <v>0</v>
      </c>
      <c r="AB66" s="24" t="n">
        <f aca="false">J66*AA66</f>
        <v>0</v>
      </c>
      <c r="AC66" s="24" t="n">
        <f aca="false">Z66+AB66</f>
        <v>0</v>
      </c>
      <c r="AD66" s="24" t="n">
        <f aca="false">AC66-(AC66*11.5%)</f>
        <v>0</v>
      </c>
      <c r="AE66" s="25" t="n">
        <v>0</v>
      </c>
      <c r="AF66" s="24" t="n">
        <f aca="false">I66+J66-AE66</f>
        <v>0</v>
      </c>
      <c r="AG66" s="24" t="n">
        <f aca="false">AF66-AD66</f>
        <v>0</v>
      </c>
      <c r="AH66" s="24" t="n">
        <f aca="false">J66+U66-AD66</f>
        <v>0</v>
      </c>
    </row>
    <row r="67" customFormat="false" ht="15" hidden="false" customHeight="false" outlineLevel="0" collapsed="false">
      <c r="A67" s="19"/>
      <c r="B67" s="20"/>
      <c r="C67" s="21"/>
      <c r="D67" s="4"/>
      <c r="F67" s="5"/>
      <c r="G67" s="5"/>
      <c r="H67" s="5"/>
      <c r="I67" s="6"/>
      <c r="J67" s="7"/>
      <c r="K67" s="4"/>
      <c r="L67" s="4"/>
      <c r="M67" s="4"/>
      <c r="Q67" s="22"/>
      <c r="S67" s="23" t="n">
        <v>0</v>
      </c>
      <c r="T67" s="24" t="n">
        <f aca="false">H67*S67</f>
        <v>0</v>
      </c>
      <c r="U67" s="24" t="n">
        <f aca="false">T67-(T67*4.6%)</f>
        <v>0</v>
      </c>
      <c r="V67" s="5" t="n">
        <v>0</v>
      </c>
      <c r="W67" s="24" t="n">
        <f aca="false">I67-V67</f>
        <v>0</v>
      </c>
      <c r="X67" s="24" t="n">
        <f aca="false">W67-U67</f>
        <v>0</v>
      </c>
      <c r="Y67" s="23" t="n">
        <v>0</v>
      </c>
      <c r="Z67" s="24" t="n">
        <f aca="false">G67*Y67</f>
        <v>0</v>
      </c>
      <c r="AA67" s="23" t="n">
        <v>0</v>
      </c>
      <c r="AB67" s="24" t="n">
        <f aca="false">J67*AA67</f>
        <v>0</v>
      </c>
      <c r="AC67" s="24" t="n">
        <f aca="false">Z67+AB67</f>
        <v>0</v>
      </c>
      <c r="AD67" s="24" t="n">
        <f aca="false">AC67-(AC67*11.5%)</f>
        <v>0</v>
      </c>
      <c r="AE67" s="25" t="n">
        <v>0</v>
      </c>
      <c r="AF67" s="24" t="n">
        <f aca="false">I67+J67-AE67</f>
        <v>0</v>
      </c>
      <c r="AG67" s="24" t="n">
        <f aca="false">AF67-AD67</f>
        <v>0</v>
      </c>
      <c r="AH67" s="24" t="n">
        <f aca="false">J67+U67-AD67</f>
        <v>0</v>
      </c>
    </row>
    <row r="68" customFormat="false" ht="15" hidden="false" customHeight="false" outlineLevel="0" collapsed="false">
      <c r="A68" s="19"/>
      <c r="B68" s="20"/>
      <c r="C68" s="21"/>
      <c r="D68" s="4"/>
      <c r="F68" s="5"/>
      <c r="G68" s="5"/>
      <c r="H68" s="5"/>
      <c r="I68" s="6"/>
      <c r="J68" s="7"/>
      <c r="K68" s="4"/>
      <c r="L68" s="4"/>
      <c r="M68" s="4"/>
      <c r="Q68" s="22"/>
      <c r="S68" s="23" t="n">
        <v>0</v>
      </c>
      <c r="T68" s="24" t="n">
        <f aca="false">H68*S68</f>
        <v>0</v>
      </c>
      <c r="U68" s="24" t="n">
        <f aca="false">T68-(T68*4.6%)</f>
        <v>0</v>
      </c>
      <c r="V68" s="5" t="n">
        <v>0</v>
      </c>
      <c r="W68" s="24" t="n">
        <f aca="false">I68-V68</f>
        <v>0</v>
      </c>
      <c r="X68" s="24" t="n">
        <f aca="false">W68-U68</f>
        <v>0</v>
      </c>
      <c r="Y68" s="23" t="n">
        <v>0</v>
      </c>
      <c r="Z68" s="24" t="n">
        <f aca="false">G68*Y68</f>
        <v>0</v>
      </c>
      <c r="AA68" s="23" t="n">
        <v>0</v>
      </c>
      <c r="AB68" s="24" t="n">
        <f aca="false">J68*AA68</f>
        <v>0</v>
      </c>
      <c r="AC68" s="24" t="n">
        <f aca="false">Z68+AB68</f>
        <v>0</v>
      </c>
      <c r="AD68" s="24" t="n">
        <f aca="false">AC68-(AC68*11.5%)</f>
        <v>0</v>
      </c>
      <c r="AE68" s="25" t="n">
        <v>0</v>
      </c>
      <c r="AF68" s="24" t="n">
        <f aca="false">I68+J68-AE68</f>
        <v>0</v>
      </c>
      <c r="AG68" s="24" t="n">
        <f aca="false">AF68-AD68</f>
        <v>0</v>
      </c>
      <c r="AH68" s="24" t="n">
        <f aca="false">J68+U68-AD68</f>
        <v>0</v>
      </c>
    </row>
    <row r="69" customFormat="false" ht="15" hidden="false" customHeight="false" outlineLevel="0" collapsed="false">
      <c r="A69" s="19"/>
      <c r="B69" s="20"/>
      <c r="C69" s="21"/>
      <c r="D69" s="4"/>
      <c r="F69" s="5"/>
      <c r="G69" s="5"/>
      <c r="H69" s="5"/>
      <c r="I69" s="6"/>
      <c r="J69" s="7"/>
      <c r="K69" s="4"/>
      <c r="L69" s="4"/>
      <c r="M69" s="4"/>
      <c r="Q69" s="22"/>
      <c r="S69" s="23" t="n">
        <v>0</v>
      </c>
      <c r="T69" s="24" t="n">
        <f aca="false">H69*S69</f>
        <v>0</v>
      </c>
      <c r="U69" s="24" t="n">
        <f aca="false">T69-(T69*4.6%)</f>
        <v>0</v>
      </c>
      <c r="V69" s="5" t="n">
        <v>0</v>
      </c>
      <c r="W69" s="24" t="n">
        <f aca="false">I69-V69</f>
        <v>0</v>
      </c>
      <c r="X69" s="24" t="n">
        <f aca="false">W69-U69</f>
        <v>0</v>
      </c>
      <c r="Y69" s="23" t="n">
        <v>0</v>
      </c>
      <c r="Z69" s="24" t="n">
        <f aca="false">G69*Y69</f>
        <v>0</v>
      </c>
      <c r="AA69" s="23" t="n">
        <v>0</v>
      </c>
      <c r="AB69" s="24" t="n">
        <f aca="false">J69*AA69</f>
        <v>0</v>
      </c>
      <c r="AC69" s="24" t="n">
        <f aca="false">Z69+AB69</f>
        <v>0</v>
      </c>
      <c r="AD69" s="24" t="n">
        <f aca="false">AC69-(AC69*11.5%)</f>
        <v>0</v>
      </c>
      <c r="AE69" s="25" t="n">
        <v>0</v>
      </c>
      <c r="AF69" s="24" t="n">
        <f aca="false">I69+J69-AE69</f>
        <v>0</v>
      </c>
      <c r="AG69" s="24" t="n">
        <f aca="false">AF69-AD69</f>
        <v>0</v>
      </c>
      <c r="AH69" s="24" t="n">
        <f aca="false">J69+U69-AD69</f>
        <v>0</v>
      </c>
    </row>
    <row r="70" customFormat="false" ht="15" hidden="false" customHeight="false" outlineLevel="0" collapsed="false">
      <c r="A70" s="19"/>
      <c r="B70" s="20"/>
      <c r="C70" s="21"/>
      <c r="D70" s="4"/>
      <c r="F70" s="5"/>
      <c r="G70" s="5"/>
      <c r="H70" s="5"/>
      <c r="I70" s="6"/>
      <c r="J70" s="7"/>
      <c r="K70" s="4"/>
      <c r="L70" s="4"/>
      <c r="M70" s="4"/>
      <c r="Q70" s="22"/>
      <c r="S70" s="23" t="n">
        <v>0</v>
      </c>
      <c r="T70" s="24" t="n">
        <f aca="false">H70*S70</f>
        <v>0</v>
      </c>
      <c r="U70" s="24" t="n">
        <f aca="false">T70-(T70*4.6%)</f>
        <v>0</v>
      </c>
      <c r="V70" s="5" t="n">
        <v>0</v>
      </c>
      <c r="W70" s="24" t="n">
        <f aca="false">I70-V70</f>
        <v>0</v>
      </c>
      <c r="X70" s="24" t="n">
        <f aca="false">W70-U70</f>
        <v>0</v>
      </c>
      <c r="Y70" s="23" t="n">
        <v>0</v>
      </c>
      <c r="Z70" s="24" t="n">
        <f aca="false">G70*Y70</f>
        <v>0</v>
      </c>
      <c r="AA70" s="23" t="n">
        <v>0</v>
      </c>
      <c r="AB70" s="24" t="n">
        <f aca="false">J70*AA70</f>
        <v>0</v>
      </c>
      <c r="AC70" s="24" t="n">
        <f aca="false">Z70+AB70</f>
        <v>0</v>
      </c>
      <c r="AD70" s="24" t="n">
        <f aca="false">AC70-(AC70*11.5%)</f>
        <v>0</v>
      </c>
      <c r="AE70" s="25" t="n">
        <v>0</v>
      </c>
      <c r="AF70" s="24" t="n">
        <f aca="false">I70+J70-AE70</f>
        <v>0</v>
      </c>
      <c r="AG70" s="24" t="n">
        <f aca="false">AF70-AD70</f>
        <v>0</v>
      </c>
      <c r="AH70" s="24" t="n">
        <f aca="false">J70+U70-AD70</f>
        <v>0</v>
      </c>
    </row>
    <row r="71" customFormat="false" ht="15" hidden="false" customHeight="false" outlineLevel="0" collapsed="false">
      <c r="A71" s="19"/>
      <c r="B71" s="20"/>
      <c r="C71" s="21"/>
      <c r="D71" s="4"/>
      <c r="F71" s="5"/>
      <c r="G71" s="5"/>
      <c r="H71" s="5"/>
      <c r="I71" s="6"/>
      <c r="J71" s="7"/>
      <c r="K71" s="4"/>
      <c r="L71" s="4"/>
      <c r="M71" s="4"/>
      <c r="Q71" s="22"/>
      <c r="S71" s="23" t="n">
        <v>0</v>
      </c>
      <c r="T71" s="24" t="n">
        <f aca="false">H71*S71</f>
        <v>0</v>
      </c>
      <c r="U71" s="24" t="n">
        <f aca="false">T71-(T71*4.6%)</f>
        <v>0</v>
      </c>
      <c r="V71" s="5" t="n">
        <v>0</v>
      </c>
      <c r="W71" s="24" t="n">
        <f aca="false">I71-V71</f>
        <v>0</v>
      </c>
      <c r="X71" s="24" t="n">
        <f aca="false">W71-U71</f>
        <v>0</v>
      </c>
      <c r="Y71" s="23" t="n">
        <v>0</v>
      </c>
      <c r="Z71" s="24" t="n">
        <f aca="false">G71*Y71</f>
        <v>0</v>
      </c>
      <c r="AA71" s="23" t="n">
        <v>0</v>
      </c>
      <c r="AB71" s="24" t="n">
        <f aca="false">J71*AA71</f>
        <v>0</v>
      </c>
      <c r="AC71" s="24" t="n">
        <f aca="false">Z71+AB71</f>
        <v>0</v>
      </c>
      <c r="AD71" s="24" t="n">
        <f aca="false">AC71-(AC71*11.5%)</f>
        <v>0</v>
      </c>
      <c r="AE71" s="25" t="n">
        <v>0</v>
      </c>
      <c r="AF71" s="24" t="n">
        <f aca="false">I71+J71-AE71</f>
        <v>0</v>
      </c>
      <c r="AG71" s="24" t="n">
        <f aca="false">AF71-AD71</f>
        <v>0</v>
      </c>
      <c r="AH71" s="24" t="n">
        <f aca="false">J71+U71-AD71</f>
        <v>0</v>
      </c>
    </row>
    <row r="72" customFormat="false" ht="15" hidden="false" customHeight="false" outlineLevel="0" collapsed="false">
      <c r="A72" s="19"/>
      <c r="B72" s="20"/>
      <c r="C72" s="21"/>
      <c r="D72" s="4"/>
      <c r="F72" s="5"/>
      <c r="G72" s="5"/>
      <c r="H72" s="5"/>
      <c r="I72" s="6"/>
      <c r="J72" s="7"/>
      <c r="K72" s="4"/>
      <c r="L72" s="4"/>
      <c r="M72" s="4"/>
      <c r="Q72" s="22"/>
      <c r="S72" s="23" t="n">
        <v>0</v>
      </c>
      <c r="T72" s="24" t="n">
        <f aca="false">H72*S72</f>
        <v>0</v>
      </c>
      <c r="U72" s="24" t="n">
        <f aca="false">T72-(T72*4.6%)</f>
        <v>0</v>
      </c>
      <c r="V72" s="5" t="n">
        <v>0</v>
      </c>
      <c r="W72" s="24" t="n">
        <f aca="false">I72-V72</f>
        <v>0</v>
      </c>
      <c r="X72" s="24" t="n">
        <f aca="false">W72-U72</f>
        <v>0</v>
      </c>
      <c r="Y72" s="23" t="n">
        <v>0</v>
      </c>
      <c r="Z72" s="24" t="n">
        <f aca="false">G72*Y72</f>
        <v>0</v>
      </c>
      <c r="AA72" s="23" t="n">
        <v>0</v>
      </c>
      <c r="AB72" s="24" t="n">
        <f aca="false">J72*AA72</f>
        <v>0</v>
      </c>
      <c r="AC72" s="24" t="n">
        <f aca="false">Z72+AB72</f>
        <v>0</v>
      </c>
      <c r="AD72" s="24" t="n">
        <f aca="false">AC72-(AC72*11.5%)</f>
        <v>0</v>
      </c>
      <c r="AE72" s="25" t="n">
        <v>0</v>
      </c>
      <c r="AF72" s="24" t="n">
        <f aca="false">I72+J72-AE72</f>
        <v>0</v>
      </c>
      <c r="AG72" s="24" t="n">
        <f aca="false">AF72-AD72</f>
        <v>0</v>
      </c>
      <c r="AH72" s="24" t="n">
        <f aca="false">J72+U72-AD72</f>
        <v>0</v>
      </c>
    </row>
    <row r="73" customFormat="false" ht="15" hidden="false" customHeight="false" outlineLevel="0" collapsed="false">
      <c r="A73" s="19"/>
      <c r="B73" s="20"/>
      <c r="C73" s="21"/>
      <c r="D73" s="4"/>
      <c r="F73" s="5"/>
      <c r="G73" s="5"/>
      <c r="H73" s="5"/>
      <c r="I73" s="6"/>
      <c r="J73" s="7"/>
      <c r="K73" s="4"/>
      <c r="L73" s="4"/>
      <c r="M73" s="4"/>
      <c r="Q73" s="22"/>
      <c r="S73" s="23" t="n">
        <v>0</v>
      </c>
      <c r="T73" s="24" t="n">
        <f aca="false">H73*S73</f>
        <v>0</v>
      </c>
      <c r="U73" s="24" t="n">
        <f aca="false">T73-(T73*4.6%)</f>
        <v>0</v>
      </c>
      <c r="V73" s="5" t="n">
        <v>0</v>
      </c>
      <c r="W73" s="24" t="n">
        <f aca="false">I73-V73</f>
        <v>0</v>
      </c>
      <c r="X73" s="24" t="n">
        <f aca="false">W73-U73</f>
        <v>0</v>
      </c>
      <c r="Y73" s="23" t="n">
        <v>0</v>
      </c>
      <c r="Z73" s="24" t="n">
        <f aca="false">G73*Y73</f>
        <v>0</v>
      </c>
      <c r="AA73" s="23" t="n">
        <v>0</v>
      </c>
      <c r="AB73" s="24" t="n">
        <f aca="false">J73*AA73</f>
        <v>0</v>
      </c>
      <c r="AC73" s="24" t="n">
        <f aca="false">Z73+AB73</f>
        <v>0</v>
      </c>
      <c r="AD73" s="24" t="n">
        <f aca="false">AC73-(AC73*11.5%)</f>
        <v>0</v>
      </c>
      <c r="AE73" s="25" t="n">
        <v>0</v>
      </c>
      <c r="AF73" s="24" t="n">
        <f aca="false">I73+J73-AE73</f>
        <v>0</v>
      </c>
      <c r="AG73" s="24" t="n">
        <f aca="false">AF73-AD73</f>
        <v>0</v>
      </c>
      <c r="AH73" s="24" t="n">
        <f aca="false">J73+U73-AD73</f>
        <v>0</v>
      </c>
    </row>
    <row r="74" customFormat="false" ht="15" hidden="false" customHeight="false" outlineLevel="0" collapsed="false">
      <c r="A74" s="19"/>
      <c r="B74" s="20"/>
      <c r="C74" s="21"/>
      <c r="D74" s="4"/>
      <c r="F74" s="5"/>
      <c r="G74" s="5"/>
      <c r="H74" s="5"/>
      <c r="I74" s="6"/>
      <c r="J74" s="7"/>
      <c r="K74" s="4"/>
      <c r="L74" s="4"/>
      <c r="M74" s="4"/>
      <c r="Q74" s="22"/>
      <c r="S74" s="23" t="n">
        <v>0</v>
      </c>
      <c r="T74" s="24" t="n">
        <f aca="false">H74*S74</f>
        <v>0</v>
      </c>
      <c r="U74" s="24" t="n">
        <f aca="false">T74-(T74*4.6%)</f>
        <v>0</v>
      </c>
      <c r="V74" s="5" t="n">
        <v>0</v>
      </c>
      <c r="W74" s="24" t="n">
        <f aca="false">I74-V74</f>
        <v>0</v>
      </c>
      <c r="X74" s="24" t="n">
        <f aca="false">W74-U74</f>
        <v>0</v>
      </c>
      <c r="Y74" s="23" t="n">
        <v>0</v>
      </c>
      <c r="Z74" s="24" t="n">
        <f aca="false">G74*Y74</f>
        <v>0</v>
      </c>
      <c r="AA74" s="23" t="n">
        <v>0</v>
      </c>
      <c r="AB74" s="24" t="n">
        <f aca="false">J74*AA74</f>
        <v>0</v>
      </c>
      <c r="AC74" s="24" t="n">
        <f aca="false">Z74+AB74</f>
        <v>0</v>
      </c>
      <c r="AD74" s="24" t="n">
        <f aca="false">AC74-(AC74*11.5%)</f>
        <v>0</v>
      </c>
      <c r="AE74" s="25" t="n">
        <v>0</v>
      </c>
      <c r="AF74" s="24" t="n">
        <f aca="false">I74+J74-AE74</f>
        <v>0</v>
      </c>
      <c r="AG74" s="24" t="n">
        <f aca="false">AF74-AD74</f>
        <v>0</v>
      </c>
      <c r="AH74" s="24" t="n">
        <f aca="false">J74+U74-AD74</f>
        <v>0</v>
      </c>
    </row>
    <row r="75" customFormat="false" ht="15" hidden="false" customHeight="false" outlineLevel="0" collapsed="false">
      <c r="A75" s="19"/>
      <c r="B75" s="20"/>
      <c r="C75" s="21"/>
      <c r="D75" s="4"/>
      <c r="F75" s="5"/>
      <c r="G75" s="5"/>
      <c r="H75" s="5"/>
      <c r="I75" s="6"/>
      <c r="J75" s="7"/>
      <c r="K75" s="4"/>
      <c r="L75" s="4"/>
      <c r="M75" s="4"/>
      <c r="Q75" s="22"/>
      <c r="S75" s="23" t="n">
        <v>0</v>
      </c>
      <c r="T75" s="24" t="n">
        <f aca="false">H75*S75</f>
        <v>0</v>
      </c>
      <c r="U75" s="24" t="n">
        <f aca="false">T75-(T75*4.6%)</f>
        <v>0</v>
      </c>
      <c r="V75" s="5" t="n">
        <v>0</v>
      </c>
      <c r="W75" s="24" t="n">
        <f aca="false">I75-V75</f>
        <v>0</v>
      </c>
      <c r="X75" s="24" t="n">
        <f aca="false">W75-U75</f>
        <v>0</v>
      </c>
      <c r="Y75" s="23" t="n">
        <v>0</v>
      </c>
      <c r="Z75" s="24" t="n">
        <f aca="false">G75*Y75</f>
        <v>0</v>
      </c>
      <c r="AA75" s="23" t="n">
        <v>0</v>
      </c>
      <c r="AB75" s="24" t="n">
        <f aca="false">J75*AA75</f>
        <v>0</v>
      </c>
      <c r="AC75" s="24" t="n">
        <f aca="false">Z75+AB75</f>
        <v>0</v>
      </c>
      <c r="AD75" s="24" t="n">
        <f aca="false">AC75-(AC75*11.5%)</f>
        <v>0</v>
      </c>
      <c r="AE75" s="25" t="n">
        <v>0</v>
      </c>
      <c r="AF75" s="24" t="n">
        <f aca="false">I75+J75-AE75</f>
        <v>0</v>
      </c>
      <c r="AG75" s="24" t="n">
        <f aca="false">AF75-AD75</f>
        <v>0</v>
      </c>
      <c r="AH75" s="24" t="n">
        <f aca="false">J75+U75-AD75</f>
        <v>0</v>
      </c>
    </row>
    <row r="76" customFormat="false" ht="15" hidden="false" customHeight="false" outlineLevel="0" collapsed="false">
      <c r="A76" s="19"/>
      <c r="B76" s="20"/>
      <c r="C76" s="21"/>
      <c r="D76" s="4"/>
      <c r="F76" s="5"/>
      <c r="G76" s="5"/>
      <c r="H76" s="5"/>
      <c r="I76" s="6"/>
      <c r="J76" s="7"/>
      <c r="K76" s="4"/>
      <c r="L76" s="4"/>
      <c r="M76" s="4"/>
      <c r="Q76" s="22"/>
      <c r="S76" s="23" t="n">
        <v>0</v>
      </c>
      <c r="T76" s="24" t="n">
        <f aca="false">H76*S76</f>
        <v>0</v>
      </c>
      <c r="U76" s="24" t="n">
        <f aca="false">T76-(T76*4.6%)</f>
        <v>0</v>
      </c>
      <c r="V76" s="5" t="n">
        <v>0</v>
      </c>
      <c r="W76" s="24" t="n">
        <f aca="false">I76-V76</f>
        <v>0</v>
      </c>
      <c r="X76" s="24" t="n">
        <f aca="false">W76-U76</f>
        <v>0</v>
      </c>
      <c r="Y76" s="23" t="n">
        <v>0</v>
      </c>
      <c r="Z76" s="24" t="n">
        <f aca="false">G76*Y76</f>
        <v>0</v>
      </c>
      <c r="AA76" s="23" t="n">
        <v>0</v>
      </c>
      <c r="AB76" s="24" t="n">
        <f aca="false">J76*AA76</f>
        <v>0</v>
      </c>
      <c r="AC76" s="24" t="n">
        <f aca="false">Z76+AB76</f>
        <v>0</v>
      </c>
      <c r="AD76" s="24" t="n">
        <f aca="false">AC76-(AC76*11.5%)</f>
        <v>0</v>
      </c>
      <c r="AE76" s="25" t="n">
        <v>0</v>
      </c>
      <c r="AF76" s="24" t="n">
        <f aca="false">I76+J76-AE76</f>
        <v>0</v>
      </c>
      <c r="AG76" s="24" t="n">
        <f aca="false">AF76-AD76</f>
        <v>0</v>
      </c>
      <c r="AH76" s="24" t="n">
        <f aca="false">J76+U76-AD76</f>
        <v>0</v>
      </c>
    </row>
    <row r="77" customFormat="false" ht="15" hidden="false" customHeight="false" outlineLevel="0" collapsed="false">
      <c r="A77" s="19"/>
      <c r="B77" s="20"/>
      <c r="C77" s="21"/>
      <c r="D77" s="4"/>
      <c r="F77" s="5"/>
      <c r="G77" s="5"/>
      <c r="H77" s="5"/>
      <c r="I77" s="6"/>
      <c r="J77" s="7"/>
      <c r="K77" s="4"/>
      <c r="L77" s="4"/>
      <c r="M77" s="4"/>
      <c r="Q77" s="22"/>
      <c r="S77" s="23" t="n">
        <v>0</v>
      </c>
      <c r="T77" s="24" t="n">
        <f aca="false">H77*S77</f>
        <v>0</v>
      </c>
      <c r="U77" s="24" t="n">
        <f aca="false">T77-(T77*4.6%)</f>
        <v>0</v>
      </c>
      <c r="V77" s="5" t="n">
        <v>0</v>
      </c>
      <c r="W77" s="24" t="n">
        <f aca="false">I77-V77</f>
        <v>0</v>
      </c>
      <c r="X77" s="24" t="n">
        <f aca="false">W77-U77</f>
        <v>0</v>
      </c>
      <c r="Y77" s="23" t="n">
        <v>0</v>
      </c>
      <c r="Z77" s="24" t="n">
        <f aca="false">G77*Y77</f>
        <v>0</v>
      </c>
      <c r="AA77" s="23" t="n">
        <v>0</v>
      </c>
      <c r="AB77" s="24" t="n">
        <f aca="false">J77*AA77</f>
        <v>0</v>
      </c>
      <c r="AC77" s="24" t="n">
        <f aca="false">Z77+AB77</f>
        <v>0</v>
      </c>
      <c r="AD77" s="24" t="n">
        <f aca="false">AC77-(AC77*11.5%)</f>
        <v>0</v>
      </c>
      <c r="AE77" s="25" t="n">
        <v>0</v>
      </c>
      <c r="AF77" s="24" t="n">
        <f aca="false">I77+J77-AE77</f>
        <v>0</v>
      </c>
      <c r="AG77" s="24" t="n">
        <f aca="false">AF77-AD77</f>
        <v>0</v>
      </c>
      <c r="AH77" s="24" t="n">
        <f aca="false">J77+U77-AD77</f>
        <v>0</v>
      </c>
    </row>
    <row r="78" customFormat="false" ht="15" hidden="false" customHeight="false" outlineLevel="0" collapsed="false">
      <c r="A78" s="19"/>
      <c r="B78" s="20"/>
      <c r="C78" s="21"/>
      <c r="D78" s="4"/>
      <c r="F78" s="5"/>
      <c r="G78" s="5"/>
      <c r="H78" s="5"/>
      <c r="I78" s="6"/>
      <c r="J78" s="7"/>
      <c r="K78" s="4"/>
      <c r="L78" s="4"/>
      <c r="M78" s="4"/>
      <c r="Q78" s="22"/>
      <c r="S78" s="23" t="n">
        <v>0</v>
      </c>
      <c r="T78" s="24" t="n">
        <f aca="false">H78*S78</f>
        <v>0</v>
      </c>
      <c r="U78" s="24" t="n">
        <f aca="false">T78-(T78*4.6%)</f>
        <v>0</v>
      </c>
      <c r="V78" s="5" t="n">
        <v>0</v>
      </c>
      <c r="W78" s="24" t="n">
        <f aca="false">I78-V78</f>
        <v>0</v>
      </c>
      <c r="X78" s="24" t="n">
        <f aca="false">W78-U78</f>
        <v>0</v>
      </c>
      <c r="Y78" s="23" t="n">
        <v>0</v>
      </c>
      <c r="Z78" s="24" t="n">
        <f aca="false">G78*Y78</f>
        <v>0</v>
      </c>
      <c r="AA78" s="23" t="n">
        <v>0</v>
      </c>
      <c r="AB78" s="24" t="n">
        <f aca="false">J78*AA78</f>
        <v>0</v>
      </c>
      <c r="AC78" s="24" t="n">
        <f aca="false">Z78+AB78</f>
        <v>0</v>
      </c>
      <c r="AD78" s="24" t="n">
        <f aca="false">AC78-(AC78*11.5%)</f>
        <v>0</v>
      </c>
      <c r="AE78" s="25" t="n">
        <v>0</v>
      </c>
      <c r="AF78" s="24" t="n">
        <f aca="false">I78+J78-AE78</f>
        <v>0</v>
      </c>
      <c r="AG78" s="24" t="n">
        <f aca="false">AF78-AD78</f>
        <v>0</v>
      </c>
      <c r="AH78" s="24" t="n">
        <f aca="false">J78+U78-AD78</f>
        <v>0</v>
      </c>
    </row>
    <row r="79" customFormat="false" ht="15" hidden="false" customHeight="false" outlineLevel="0" collapsed="false">
      <c r="A79" s="19"/>
      <c r="B79" s="20"/>
      <c r="C79" s="21"/>
      <c r="D79" s="4"/>
      <c r="F79" s="5"/>
      <c r="G79" s="5"/>
      <c r="H79" s="5"/>
      <c r="I79" s="6"/>
      <c r="J79" s="7"/>
      <c r="K79" s="4"/>
      <c r="L79" s="4"/>
      <c r="M79" s="4"/>
      <c r="Q79" s="22"/>
      <c r="S79" s="23" t="n">
        <v>0</v>
      </c>
      <c r="T79" s="24" t="n">
        <f aca="false">H79*S79</f>
        <v>0</v>
      </c>
      <c r="U79" s="24" t="n">
        <f aca="false">T79-(T79*4.6%)</f>
        <v>0</v>
      </c>
      <c r="V79" s="5" t="n">
        <v>0</v>
      </c>
      <c r="W79" s="24" t="n">
        <f aca="false">I79-V79</f>
        <v>0</v>
      </c>
      <c r="X79" s="24" t="n">
        <f aca="false">W79-U79</f>
        <v>0</v>
      </c>
      <c r="Y79" s="23" t="n">
        <v>0</v>
      </c>
      <c r="Z79" s="24" t="n">
        <f aca="false">G79*Y79</f>
        <v>0</v>
      </c>
      <c r="AA79" s="23" t="n">
        <v>0</v>
      </c>
      <c r="AB79" s="24" t="n">
        <f aca="false">J79*AA79</f>
        <v>0</v>
      </c>
      <c r="AC79" s="24" t="n">
        <f aca="false">Z79+AB79</f>
        <v>0</v>
      </c>
      <c r="AD79" s="24" t="n">
        <f aca="false">AC79-(AC79*11.5%)</f>
        <v>0</v>
      </c>
      <c r="AE79" s="25" t="n">
        <v>0</v>
      </c>
      <c r="AF79" s="24" t="n">
        <f aca="false">I79+J79-AE79</f>
        <v>0</v>
      </c>
      <c r="AG79" s="24" t="n">
        <f aca="false">AF79-AD79</f>
        <v>0</v>
      </c>
      <c r="AH79" s="24" t="n">
        <f aca="false">J79+U79-AD79</f>
        <v>0</v>
      </c>
    </row>
    <row r="80" customFormat="false" ht="15" hidden="false" customHeight="false" outlineLevel="0" collapsed="false">
      <c r="A80" s="19"/>
      <c r="B80" s="20"/>
      <c r="C80" s="21"/>
      <c r="D80" s="4"/>
      <c r="F80" s="5"/>
      <c r="G80" s="5"/>
      <c r="H80" s="5"/>
      <c r="I80" s="6"/>
      <c r="J80" s="7"/>
      <c r="K80" s="4"/>
      <c r="L80" s="4"/>
      <c r="M80" s="4"/>
      <c r="Q80" s="22"/>
      <c r="S80" s="23" t="n">
        <v>0</v>
      </c>
      <c r="T80" s="24" t="n">
        <f aca="false">H80*S80</f>
        <v>0</v>
      </c>
      <c r="U80" s="24" t="n">
        <f aca="false">T80-(T80*4.6%)</f>
        <v>0</v>
      </c>
      <c r="V80" s="5" t="n">
        <v>0</v>
      </c>
      <c r="W80" s="24" t="n">
        <f aca="false">I80-V80</f>
        <v>0</v>
      </c>
      <c r="X80" s="24" t="n">
        <f aca="false">W80-U80</f>
        <v>0</v>
      </c>
      <c r="Y80" s="23" t="n">
        <v>0</v>
      </c>
      <c r="Z80" s="24" t="n">
        <f aca="false">G80*Y80</f>
        <v>0</v>
      </c>
      <c r="AA80" s="23" t="n">
        <v>0</v>
      </c>
      <c r="AB80" s="24" t="n">
        <f aca="false">J80*AA80</f>
        <v>0</v>
      </c>
      <c r="AC80" s="24" t="n">
        <f aca="false">Z80+AB80</f>
        <v>0</v>
      </c>
      <c r="AD80" s="24" t="n">
        <f aca="false">AC80-(AC80*11.5%)</f>
        <v>0</v>
      </c>
      <c r="AE80" s="25" t="n">
        <v>0</v>
      </c>
      <c r="AF80" s="24" t="n">
        <f aca="false">I80+J80-AE80</f>
        <v>0</v>
      </c>
      <c r="AG80" s="24" t="n">
        <f aca="false">AF80-AD80</f>
        <v>0</v>
      </c>
      <c r="AH80" s="24" t="n">
        <f aca="false">J80+U80-AD80</f>
        <v>0</v>
      </c>
    </row>
    <row r="81" customFormat="false" ht="15" hidden="false" customHeight="false" outlineLevel="0" collapsed="false">
      <c r="A81" s="19"/>
      <c r="B81" s="20"/>
      <c r="C81" s="21"/>
      <c r="D81" s="4"/>
      <c r="F81" s="5"/>
      <c r="G81" s="5"/>
      <c r="H81" s="5"/>
      <c r="I81" s="6"/>
      <c r="J81" s="7"/>
      <c r="K81" s="4"/>
      <c r="L81" s="4"/>
      <c r="M81" s="4"/>
      <c r="Q81" s="22"/>
      <c r="S81" s="23" t="n">
        <v>0</v>
      </c>
      <c r="T81" s="24" t="n">
        <f aca="false">H81*S81</f>
        <v>0</v>
      </c>
      <c r="U81" s="24" t="n">
        <f aca="false">T81-(T81*4.6%)</f>
        <v>0</v>
      </c>
      <c r="V81" s="5" t="n">
        <v>0</v>
      </c>
      <c r="W81" s="24" t="n">
        <f aca="false">I81-V81</f>
        <v>0</v>
      </c>
      <c r="X81" s="24" t="n">
        <f aca="false">W81-U81</f>
        <v>0</v>
      </c>
      <c r="Y81" s="23" t="n">
        <v>0</v>
      </c>
      <c r="Z81" s="24" t="n">
        <f aca="false">G81*Y81</f>
        <v>0</v>
      </c>
      <c r="AA81" s="23" t="n">
        <v>0</v>
      </c>
      <c r="AB81" s="24" t="n">
        <f aca="false">J81*AA81</f>
        <v>0</v>
      </c>
      <c r="AC81" s="24" t="n">
        <f aca="false">Z81+AB81</f>
        <v>0</v>
      </c>
      <c r="AD81" s="24" t="n">
        <f aca="false">AC81-(AC81*11.5%)</f>
        <v>0</v>
      </c>
      <c r="AE81" s="25" t="n">
        <v>0</v>
      </c>
      <c r="AF81" s="24" t="n">
        <f aca="false">I81+J81-AE81</f>
        <v>0</v>
      </c>
      <c r="AG81" s="24" t="n">
        <f aca="false">AF81-AD81</f>
        <v>0</v>
      </c>
      <c r="AH81" s="24" t="n">
        <f aca="false">J81+U81-AD81</f>
        <v>0</v>
      </c>
    </row>
    <row r="82" customFormat="false" ht="15" hidden="false" customHeight="false" outlineLevel="0" collapsed="false">
      <c r="A82" s="19"/>
      <c r="B82" s="20"/>
      <c r="C82" s="21"/>
      <c r="D82" s="4"/>
      <c r="F82" s="5"/>
      <c r="G82" s="5"/>
      <c r="H82" s="5"/>
      <c r="I82" s="6"/>
      <c r="J82" s="7"/>
      <c r="K82" s="4"/>
      <c r="L82" s="4"/>
      <c r="M82" s="4"/>
      <c r="Q82" s="22"/>
      <c r="S82" s="23" t="n">
        <v>0</v>
      </c>
      <c r="T82" s="24" t="n">
        <f aca="false">H82*S82</f>
        <v>0</v>
      </c>
      <c r="U82" s="24" t="n">
        <f aca="false">T82-(T82*4.6%)</f>
        <v>0</v>
      </c>
      <c r="V82" s="5" t="n">
        <v>0</v>
      </c>
      <c r="W82" s="24" t="n">
        <f aca="false">I82-V82</f>
        <v>0</v>
      </c>
      <c r="X82" s="24" t="n">
        <f aca="false">W82-U82</f>
        <v>0</v>
      </c>
      <c r="Y82" s="23" t="n">
        <v>0</v>
      </c>
      <c r="Z82" s="24" t="n">
        <f aca="false">G82*Y82</f>
        <v>0</v>
      </c>
      <c r="AA82" s="23" t="n">
        <v>0</v>
      </c>
      <c r="AB82" s="24" t="n">
        <f aca="false">J82*AA82</f>
        <v>0</v>
      </c>
      <c r="AC82" s="24" t="n">
        <f aca="false">Z82+AB82</f>
        <v>0</v>
      </c>
      <c r="AD82" s="24" t="n">
        <f aca="false">AC82-(AC82*11.5%)</f>
        <v>0</v>
      </c>
      <c r="AE82" s="25" t="n">
        <v>0</v>
      </c>
      <c r="AF82" s="24" t="n">
        <f aca="false">I82+J82-AE82</f>
        <v>0</v>
      </c>
      <c r="AG82" s="24" t="n">
        <f aca="false">AF82-AD82</f>
        <v>0</v>
      </c>
      <c r="AH82" s="24" t="n">
        <f aca="false">J82+U82-AD82</f>
        <v>0</v>
      </c>
    </row>
    <row r="83" customFormat="false" ht="15" hidden="false" customHeight="false" outlineLevel="0" collapsed="false">
      <c r="A83" s="19"/>
      <c r="B83" s="20"/>
      <c r="C83" s="21"/>
      <c r="D83" s="4"/>
      <c r="F83" s="5"/>
      <c r="G83" s="5"/>
      <c r="H83" s="5"/>
      <c r="I83" s="6"/>
      <c r="J83" s="7"/>
      <c r="K83" s="4"/>
      <c r="L83" s="4"/>
      <c r="M83" s="4"/>
      <c r="Q83" s="22"/>
      <c r="S83" s="23" t="n">
        <v>0</v>
      </c>
      <c r="T83" s="24" t="n">
        <f aca="false">H83*S83</f>
        <v>0</v>
      </c>
      <c r="U83" s="24" t="n">
        <f aca="false">T83-(T83*4.6%)</f>
        <v>0</v>
      </c>
      <c r="V83" s="5" t="n">
        <v>0</v>
      </c>
      <c r="W83" s="24" t="n">
        <f aca="false">I83-V83</f>
        <v>0</v>
      </c>
      <c r="X83" s="24" t="n">
        <f aca="false">W83-U83</f>
        <v>0</v>
      </c>
      <c r="Y83" s="23" t="n">
        <v>0</v>
      </c>
      <c r="Z83" s="24" t="n">
        <f aca="false">G83*Y83</f>
        <v>0</v>
      </c>
      <c r="AA83" s="23" t="n">
        <v>0</v>
      </c>
      <c r="AB83" s="24" t="n">
        <f aca="false">J83*AA83</f>
        <v>0</v>
      </c>
      <c r="AC83" s="24" t="n">
        <f aca="false">Z83+AB83</f>
        <v>0</v>
      </c>
      <c r="AD83" s="24" t="n">
        <f aca="false">AC83-(AC83*11.5%)</f>
        <v>0</v>
      </c>
      <c r="AE83" s="25" t="n">
        <v>0</v>
      </c>
      <c r="AF83" s="24" t="n">
        <f aca="false">I83+J83-AE83</f>
        <v>0</v>
      </c>
      <c r="AG83" s="24" t="n">
        <f aca="false">AF83-AD83</f>
        <v>0</v>
      </c>
      <c r="AH83" s="24" t="n">
        <f aca="false">J83+U83-AD83</f>
        <v>0</v>
      </c>
    </row>
    <row r="84" customFormat="false" ht="15" hidden="false" customHeight="false" outlineLevel="0" collapsed="false">
      <c r="A84" s="19"/>
      <c r="B84" s="20"/>
      <c r="C84" s="21"/>
      <c r="D84" s="4"/>
      <c r="F84" s="5"/>
      <c r="G84" s="5"/>
      <c r="H84" s="5"/>
      <c r="I84" s="6"/>
      <c r="J84" s="7"/>
      <c r="K84" s="4"/>
      <c r="L84" s="4"/>
      <c r="M84" s="4"/>
      <c r="Q84" s="22"/>
      <c r="S84" s="23" t="n">
        <v>0</v>
      </c>
      <c r="T84" s="24" t="n">
        <f aca="false">H84*S84</f>
        <v>0</v>
      </c>
      <c r="U84" s="24" t="n">
        <f aca="false">T84-(T84*4.6%)</f>
        <v>0</v>
      </c>
      <c r="V84" s="5" t="n">
        <v>0</v>
      </c>
      <c r="W84" s="24" t="n">
        <f aca="false">I84-V84</f>
        <v>0</v>
      </c>
      <c r="X84" s="24" t="n">
        <f aca="false">W84-U84</f>
        <v>0</v>
      </c>
      <c r="Y84" s="23" t="n">
        <v>0</v>
      </c>
      <c r="Z84" s="24" t="n">
        <f aca="false">G84*Y84</f>
        <v>0</v>
      </c>
      <c r="AA84" s="23" t="n">
        <v>0</v>
      </c>
      <c r="AB84" s="24" t="n">
        <f aca="false">J84*AA84</f>
        <v>0</v>
      </c>
      <c r="AC84" s="24" t="n">
        <f aca="false">Z84+AB84</f>
        <v>0</v>
      </c>
      <c r="AD84" s="24" t="n">
        <f aca="false">AC84-(AC84*11.5%)</f>
        <v>0</v>
      </c>
      <c r="AE84" s="25" t="n">
        <v>0</v>
      </c>
      <c r="AF84" s="24" t="n">
        <f aca="false">I84+J84-AE84</f>
        <v>0</v>
      </c>
      <c r="AG84" s="24" t="n">
        <f aca="false">AF84-AD84</f>
        <v>0</v>
      </c>
      <c r="AH84" s="24" t="n">
        <f aca="false">J84+U84-AD84</f>
        <v>0</v>
      </c>
    </row>
    <row r="85" customFormat="false" ht="15" hidden="false" customHeight="false" outlineLevel="0" collapsed="false">
      <c r="A85" s="19"/>
      <c r="B85" s="20"/>
      <c r="C85" s="21"/>
      <c r="D85" s="4"/>
      <c r="F85" s="5"/>
      <c r="G85" s="5"/>
      <c r="H85" s="5"/>
      <c r="I85" s="6"/>
      <c r="J85" s="7"/>
      <c r="K85" s="4"/>
      <c r="L85" s="4"/>
      <c r="M85" s="4"/>
      <c r="Q85" s="22"/>
      <c r="S85" s="23" t="n">
        <v>0</v>
      </c>
      <c r="T85" s="24" t="n">
        <f aca="false">H85*S85</f>
        <v>0</v>
      </c>
      <c r="U85" s="24" t="n">
        <f aca="false">T85-(T85*4.6%)</f>
        <v>0</v>
      </c>
      <c r="V85" s="5" t="n">
        <v>0</v>
      </c>
      <c r="W85" s="24" t="n">
        <f aca="false">I85-V85</f>
        <v>0</v>
      </c>
      <c r="X85" s="24" t="n">
        <f aca="false">W85-U85</f>
        <v>0</v>
      </c>
      <c r="Y85" s="23" t="n">
        <v>0</v>
      </c>
      <c r="Z85" s="24" t="n">
        <f aca="false">G85*Y85</f>
        <v>0</v>
      </c>
      <c r="AA85" s="23" t="n">
        <v>0</v>
      </c>
      <c r="AB85" s="24" t="n">
        <f aca="false">J85*AA85</f>
        <v>0</v>
      </c>
      <c r="AC85" s="24" t="n">
        <f aca="false">Z85+AB85</f>
        <v>0</v>
      </c>
      <c r="AD85" s="24" t="n">
        <f aca="false">AC85-(AC85*11.5%)</f>
        <v>0</v>
      </c>
      <c r="AE85" s="25" t="n">
        <v>0</v>
      </c>
      <c r="AF85" s="24" t="n">
        <f aca="false">I85+J85-AE85</f>
        <v>0</v>
      </c>
      <c r="AG85" s="24" t="n">
        <f aca="false">AF85-AD85</f>
        <v>0</v>
      </c>
      <c r="AH85" s="24" t="n">
        <f aca="false">J85+U85-AD85</f>
        <v>0</v>
      </c>
    </row>
    <row r="86" customFormat="false" ht="15" hidden="false" customHeight="false" outlineLevel="0" collapsed="false">
      <c r="A86" s="19"/>
      <c r="B86" s="20"/>
      <c r="C86" s="21"/>
      <c r="D86" s="4"/>
      <c r="F86" s="5"/>
      <c r="G86" s="5"/>
      <c r="H86" s="5"/>
      <c r="I86" s="6"/>
      <c r="J86" s="7"/>
      <c r="K86" s="4"/>
      <c r="L86" s="4"/>
      <c r="M86" s="4"/>
      <c r="Q86" s="22"/>
      <c r="S86" s="23" t="n">
        <v>0</v>
      </c>
      <c r="T86" s="24" t="n">
        <f aca="false">H86*S86</f>
        <v>0</v>
      </c>
      <c r="U86" s="24" t="n">
        <f aca="false">T86-(T86*4.6%)</f>
        <v>0</v>
      </c>
      <c r="V86" s="5" t="n">
        <v>0</v>
      </c>
      <c r="W86" s="24" t="n">
        <f aca="false">I86-V86</f>
        <v>0</v>
      </c>
      <c r="X86" s="24" t="n">
        <f aca="false">W86-U86</f>
        <v>0</v>
      </c>
      <c r="Y86" s="23" t="n">
        <v>0</v>
      </c>
      <c r="Z86" s="24" t="n">
        <f aca="false">G86*Y86</f>
        <v>0</v>
      </c>
      <c r="AA86" s="23" t="n">
        <v>0</v>
      </c>
      <c r="AB86" s="24" t="n">
        <f aca="false">J86*AA86</f>
        <v>0</v>
      </c>
      <c r="AC86" s="24" t="n">
        <f aca="false">Z86+AB86</f>
        <v>0</v>
      </c>
      <c r="AD86" s="24" t="n">
        <f aca="false">AC86-(AC86*11.5%)</f>
        <v>0</v>
      </c>
      <c r="AE86" s="25" t="n">
        <v>0</v>
      </c>
      <c r="AF86" s="24" t="n">
        <f aca="false">I86+J86-AE86</f>
        <v>0</v>
      </c>
      <c r="AG86" s="24" t="n">
        <f aca="false">AF86-AD86</f>
        <v>0</v>
      </c>
      <c r="AH86" s="24" t="n">
        <f aca="false">J86+U86-AD86</f>
        <v>0</v>
      </c>
    </row>
    <row r="87" customFormat="false" ht="15" hidden="false" customHeight="false" outlineLevel="0" collapsed="false">
      <c r="A87" s="19"/>
      <c r="B87" s="20"/>
      <c r="C87" s="21"/>
      <c r="D87" s="4"/>
      <c r="F87" s="5"/>
      <c r="G87" s="5"/>
      <c r="H87" s="5"/>
      <c r="I87" s="6"/>
      <c r="J87" s="7"/>
      <c r="K87" s="4"/>
      <c r="L87" s="4"/>
      <c r="M87" s="4"/>
      <c r="Q87" s="22"/>
      <c r="S87" s="23" t="n">
        <v>0</v>
      </c>
      <c r="T87" s="24" t="n">
        <f aca="false">H87*S87</f>
        <v>0</v>
      </c>
      <c r="U87" s="24" t="n">
        <f aca="false">T87-(T87*4.6%)</f>
        <v>0</v>
      </c>
      <c r="V87" s="5" t="n">
        <v>0</v>
      </c>
      <c r="W87" s="24" t="n">
        <f aca="false">I87-V87</f>
        <v>0</v>
      </c>
      <c r="X87" s="24" t="n">
        <f aca="false">W87-U87</f>
        <v>0</v>
      </c>
      <c r="Y87" s="23" t="n">
        <v>0</v>
      </c>
      <c r="Z87" s="24" t="n">
        <f aca="false">G87*Y87</f>
        <v>0</v>
      </c>
      <c r="AA87" s="23" t="n">
        <v>0</v>
      </c>
      <c r="AB87" s="24" t="n">
        <f aca="false">J87*AA87</f>
        <v>0</v>
      </c>
      <c r="AC87" s="24" t="n">
        <f aca="false">Z87+AB87</f>
        <v>0</v>
      </c>
      <c r="AD87" s="24" t="n">
        <f aca="false">AC87-(AC87*11.5%)</f>
        <v>0</v>
      </c>
      <c r="AE87" s="25" t="n">
        <v>0</v>
      </c>
      <c r="AF87" s="24" t="n">
        <f aca="false">I87+J87-AE87</f>
        <v>0</v>
      </c>
      <c r="AG87" s="24" t="n">
        <f aca="false">AF87-AD87</f>
        <v>0</v>
      </c>
      <c r="AH87" s="24" t="n">
        <f aca="false">J87+U87-AD87</f>
        <v>0</v>
      </c>
    </row>
    <row r="88" customFormat="false" ht="15" hidden="false" customHeight="false" outlineLevel="0" collapsed="false">
      <c r="A88" s="19"/>
      <c r="B88" s="20"/>
      <c r="C88" s="21"/>
      <c r="D88" s="4"/>
      <c r="F88" s="5"/>
      <c r="G88" s="5"/>
      <c r="H88" s="5"/>
      <c r="I88" s="6"/>
      <c r="J88" s="7"/>
      <c r="K88" s="4"/>
      <c r="L88" s="4"/>
      <c r="M88" s="4"/>
      <c r="Q88" s="22"/>
      <c r="S88" s="23" t="n">
        <v>0</v>
      </c>
      <c r="T88" s="24" t="n">
        <f aca="false">H88*S88</f>
        <v>0</v>
      </c>
      <c r="U88" s="24" t="n">
        <f aca="false">T88-(T88*4.6%)</f>
        <v>0</v>
      </c>
      <c r="V88" s="5" t="n">
        <v>0</v>
      </c>
      <c r="W88" s="24" t="n">
        <f aca="false">I88-V88</f>
        <v>0</v>
      </c>
      <c r="X88" s="24" t="n">
        <f aca="false">W88-U88</f>
        <v>0</v>
      </c>
      <c r="Y88" s="23" t="n">
        <v>0</v>
      </c>
      <c r="Z88" s="24" t="n">
        <f aca="false">G88*Y88</f>
        <v>0</v>
      </c>
      <c r="AA88" s="23" t="n">
        <v>0</v>
      </c>
      <c r="AB88" s="24" t="n">
        <f aca="false">J88*AA88</f>
        <v>0</v>
      </c>
      <c r="AC88" s="24" t="n">
        <f aca="false">Z88+AB88</f>
        <v>0</v>
      </c>
      <c r="AD88" s="24" t="n">
        <f aca="false">AC88-(AC88*11.5%)</f>
        <v>0</v>
      </c>
      <c r="AE88" s="25" t="n">
        <v>0</v>
      </c>
      <c r="AF88" s="24" t="n">
        <f aca="false">I88+J88-AE88</f>
        <v>0</v>
      </c>
      <c r="AG88" s="24" t="n">
        <f aca="false">AF88-AD88</f>
        <v>0</v>
      </c>
      <c r="AH88" s="24" t="n">
        <f aca="false">J88+U88-AD88</f>
        <v>0</v>
      </c>
    </row>
    <row r="89" customFormat="false" ht="15" hidden="false" customHeight="false" outlineLevel="0" collapsed="false">
      <c r="A89" s="19"/>
      <c r="B89" s="20"/>
      <c r="C89" s="21"/>
      <c r="D89" s="4"/>
      <c r="F89" s="5"/>
      <c r="G89" s="5"/>
      <c r="H89" s="5"/>
      <c r="I89" s="6"/>
      <c r="J89" s="7"/>
      <c r="K89" s="4"/>
      <c r="L89" s="4"/>
      <c r="M89" s="4"/>
      <c r="Q89" s="22"/>
      <c r="S89" s="23" t="n">
        <v>0</v>
      </c>
      <c r="T89" s="24" t="n">
        <f aca="false">H89*S89</f>
        <v>0</v>
      </c>
      <c r="U89" s="24" t="n">
        <f aca="false">T89-(T89*4.6%)</f>
        <v>0</v>
      </c>
      <c r="V89" s="5" t="n">
        <v>0</v>
      </c>
      <c r="W89" s="24" t="n">
        <f aca="false">I89-V89</f>
        <v>0</v>
      </c>
      <c r="X89" s="24" t="n">
        <f aca="false">W89-U89</f>
        <v>0</v>
      </c>
      <c r="Y89" s="23" t="n">
        <v>0</v>
      </c>
      <c r="Z89" s="24" t="n">
        <f aca="false">G89*Y89</f>
        <v>0</v>
      </c>
      <c r="AA89" s="23" t="n">
        <v>0</v>
      </c>
      <c r="AB89" s="24" t="n">
        <f aca="false">J89*AA89</f>
        <v>0</v>
      </c>
      <c r="AC89" s="24" t="n">
        <f aca="false">Z89+AB89</f>
        <v>0</v>
      </c>
      <c r="AD89" s="24" t="n">
        <f aca="false">AC89-(AC89*11.5%)</f>
        <v>0</v>
      </c>
      <c r="AE89" s="25" t="n">
        <v>0</v>
      </c>
      <c r="AF89" s="24" t="n">
        <f aca="false">I89+J89-AE89</f>
        <v>0</v>
      </c>
      <c r="AG89" s="24" t="n">
        <f aca="false">AF89-AD89</f>
        <v>0</v>
      </c>
      <c r="AH89" s="24" t="n">
        <f aca="false">J89+U89-AD89</f>
        <v>0</v>
      </c>
    </row>
    <row r="90" customFormat="false" ht="15" hidden="false" customHeight="false" outlineLevel="0" collapsed="false">
      <c r="A90" s="19"/>
      <c r="B90" s="20"/>
      <c r="C90" s="21"/>
      <c r="D90" s="4"/>
      <c r="F90" s="5"/>
      <c r="G90" s="5"/>
      <c r="H90" s="5"/>
      <c r="I90" s="6"/>
      <c r="J90" s="7"/>
      <c r="K90" s="4"/>
      <c r="L90" s="4"/>
      <c r="M90" s="4"/>
      <c r="Q90" s="22"/>
      <c r="S90" s="23" t="n">
        <v>0</v>
      </c>
      <c r="T90" s="24" t="n">
        <f aca="false">H90*S90</f>
        <v>0</v>
      </c>
      <c r="U90" s="24" t="n">
        <f aca="false">T90-(T90*4.6%)</f>
        <v>0</v>
      </c>
      <c r="V90" s="5" t="n">
        <v>0</v>
      </c>
      <c r="W90" s="24" t="n">
        <f aca="false">I90-V90</f>
        <v>0</v>
      </c>
      <c r="X90" s="24" t="n">
        <f aca="false">W90-U90</f>
        <v>0</v>
      </c>
      <c r="Y90" s="23" t="n">
        <v>0</v>
      </c>
      <c r="Z90" s="24" t="n">
        <f aca="false">G90*Y90</f>
        <v>0</v>
      </c>
      <c r="AA90" s="23" t="n">
        <v>0</v>
      </c>
      <c r="AB90" s="24" t="n">
        <f aca="false">J90*AA90</f>
        <v>0</v>
      </c>
      <c r="AC90" s="24" t="n">
        <f aca="false">Z90+AB90</f>
        <v>0</v>
      </c>
      <c r="AD90" s="24" t="n">
        <f aca="false">AC90-(AC90*11.5%)</f>
        <v>0</v>
      </c>
      <c r="AE90" s="25" t="n">
        <v>0</v>
      </c>
      <c r="AF90" s="24" t="n">
        <f aca="false">I90+J90-AE90</f>
        <v>0</v>
      </c>
      <c r="AG90" s="24" t="n">
        <f aca="false">AF90-AD90</f>
        <v>0</v>
      </c>
      <c r="AH90" s="24" t="n">
        <f aca="false">J90+U90-AD90</f>
        <v>0</v>
      </c>
    </row>
    <row r="91" customFormat="false" ht="15" hidden="false" customHeight="false" outlineLevel="0" collapsed="false">
      <c r="A91" s="19"/>
      <c r="B91" s="20"/>
      <c r="C91" s="21"/>
      <c r="D91" s="4"/>
      <c r="F91" s="5"/>
      <c r="G91" s="5"/>
      <c r="H91" s="5"/>
      <c r="I91" s="6"/>
      <c r="J91" s="7"/>
      <c r="K91" s="4"/>
      <c r="L91" s="4"/>
      <c r="M91" s="4"/>
      <c r="Q91" s="22"/>
      <c r="S91" s="23" t="n">
        <v>0</v>
      </c>
      <c r="T91" s="24" t="n">
        <f aca="false">H91*S91</f>
        <v>0</v>
      </c>
      <c r="U91" s="24" t="n">
        <f aca="false">T91-(T91*4.6%)</f>
        <v>0</v>
      </c>
      <c r="V91" s="5" t="n">
        <v>0</v>
      </c>
      <c r="W91" s="24" t="n">
        <f aca="false">I91-V91</f>
        <v>0</v>
      </c>
      <c r="X91" s="24" t="n">
        <f aca="false">W91-U91</f>
        <v>0</v>
      </c>
      <c r="Y91" s="23" t="n">
        <v>0</v>
      </c>
      <c r="Z91" s="24" t="n">
        <f aca="false">G91*Y91</f>
        <v>0</v>
      </c>
      <c r="AA91" s="23" t="n">
        <v>0</v>
      </c>
      <c r="AB91" s="24" t="n">
        <f aca="false">J91*AA91</f>
        <v>0</v>
      </c>
      <c r="AC91" s="24" t="n">
        <f aca="false">Z91+AB91</f>
        <v>0</v>
      </c>
      <c r="AD91" s="24" t="n">
        <f aca="false">AC91-(AC91*11.5%)</f>
        <v>0</v>
      </c>
      <c r="AE91" s="25" t="n">
        <v>0</v>
      </c>
      <c r="AF91" s="24" t="n">
        <f aca="false">I91+J91-AE91</f>
        <v>0</v>
      </c>
      <c r="AG91" s="24" t="n">
        <f aca="false">AF91-AD91</f>
        <v>0</v>
      </c>
      <c r="AH91" s="24" t="n">
        <f aca="false">J91+U91-AD91</f>
        <v>0</v>
      </c>
    </row>
    <row r="92" customFormat="false" ht="15" hidden="false" customHeight="false" outlineLevel="0" collapsed="false">
      <c r="A92" s="19"/>
      <c r="B92" s="20"/>
      <c r="C92" s="21"/>
      <c r="D92" s="4"/>
      <c r="F92" s="5"/>
      <c r="G92" s="5"/>
      <c r="H92" s="5"/>
      <c r="I92" s="6"/>
      <c r="J92" s="7"/>
      <c r="K92" s="4"/>
      <c r="L92" s="4"/>
      <c r="M92" s="4"/>
      <c r="Q92" s="22"/>
      <c r="S92" s="23" t="n">
        <v>0</v>
      </c>
      <c r="T92" s="24" t="n">
        <f aca="false">H92*S92</f>
        <v>0</v>
      </c>
      <c r="U92" s="24" t="n">
        <f aca="false">T92-(T92*4.6%)</f>
        <v>0</v>
      </c>
      <c r="V92" s="5" t="n">
        <v>0</v>
      </c>
      <c r="W92" s="24" t="n">
        <f aca="false">I92-V92</f>
        <v>0</v>
      </c>
      <c r="X92" s="24" t="n">
        <f aca="false">W92-U92</f>
        <v>0</v>
      </c>
      <c r="Y92" s="23" t="n">
        <v>0</v>
      </c>
      <c r="Z92" s="24" t="n">
        <f aca="false">G92*Y92</f>
        <v>0</v>
      </c>
      <c r="AA92" s="23" t="n">
        <v>0</v>
      </c>
      <c r="AB92" s="24" t="n">
        <f aca="false">J92*AA92</f>
        <v>0</v>
      </c>
      <c r="AC92" s="24" t="n">
        <f aca="false">Z92+AB92</f>
        <v>0</v>
      </c>
      <c r="AD92" s="24" t="n">
        <f aca="false">AC92-(AC92*11.5%)</f>
        <v>0</v>
      </c>
      <c r="AE92" s="25" t="n">
        <v>0</v>
      </c>
      <c r="AF92" s="24" t="n">
        <f aca="false">I92+J92-AE92</f>
        <v>0</v>
      </c>
      <c r="AG92" s="24" t="n">
        <f aca="false">AF92-AD92</f>
        <v>0</v>
      </c>
      <c r="AH92" s="24" t="n">
        <f aca="false">J92+U92-AD92</f>
        <v>0</v>
      </c>
    </row>
    <row r="93" customFormat="false" ht="15" hidden="false" customHeight="false" outlineLevel="0" collapsed="false">
      <c r="A93" s="19"/>
      <c r="B93" s="20"/>
      <c r="C93" s="21"/>
      <c r="D93" s="4"/>
      <c r="F93" s="5"/>
      <c r="G93" s="5"/>
      <c r="H93" s="5"/>
      <c r="I93" s="6"/>
      <c r="J93" s="7"/>
      <c r="K93" s="4"/>
      <c r="L93" s="4"/>
      <c r="M93" s="4"/>
      <c r="Q93" s="22"/>
      <c r="S93" s="23" t="n">
        <v>0</v>
      </c>
      <c r="T93" s="24" t="n">
        <f aca="false">H93*S93</f>
        <v>0</v>
      </c>
      <c r="U93" s="24" t="n">
        <f aca="false">T93-(T93*4.6%)</f>
        <v>0</v>
      </c>
      <c r="V93" s="5" t="n">
        <v>0</v>
      </c>
      <c r="W93" s="24" t="n">
        <f aca="false">I93-V93</f>
        <v>0</v>
      </c>
      <c r="X93" s="24" t="n">
        <f aca="false">W93-U93</f>
        <v>0</v>
      </c>
      <c r="Y93" s="23" t="n">
        <v>0</v>
      </c>
      <c r="Z93" s="24" t="n">
        <f aca="false">G93*Y93</f>
        <v>0</v>
      </c>
      <c r="AA93" s="23" t="n">
        <v>0</v>
      </c>
      <c r="AB93" s="24" t="n">
        <f aca="false">J93*AA93</f>
        <v>0</v>
      </c>
      <c r="AC93" s="24" t="n">
        <f aca="false">Z93+AB93</f>
        <v>0</v>
      </c>
      <c r="AD93" s="24" t="n">
        <f aca="false">AC93-(AC93*11.5%)</f>
        <v>0</v>
      </c>
      <c r="AE93" s="25" t="n">
        <v>0</v>
      </c>
      <c r="AF93" s="24" t="n">
        <f aca="false">I93+J93-AE93</f>
        <v>0</v>
      </c>
      <c r="AG93" s="24" t="n">
        <f aca="false">AF93-AD93</f>
        <v>0</v>
      </c>
      <c r="AH93" s="24" t="n">
        <f aca="false">J93+U93-AD93</f>
        <v>0</v>
      </c>
    </row>
    <row r="94" customFormat="false" ht="15" hidden="false" customHeight="false" outlineLevel="0" collapsed="false">
      <c r="A94" s="19"/>
      <c r="B94" s="20"/>
      <c r="C94" s="21"/>
      <c r="D94" s="4"/>
      <c r="F94" s="5"/>
      <c r="G94" s="5"/>
      <c r="H94" s="5"/>
      <c r="I94" s="6"/>
      <c r="J94" s="7"/>
      <c r="K94" s="4"/>
      <c r="L94" s="4"/>
      <c r="M94" s="4"/>
      <c r="Q94" s="22"/>
      <c r="S94" s="23" t="n">
        <v>0</v>
      </c>
      <c r="T94" s="24" t="n">
        <f aca="false">H94*S94</f>
        <v>0</v>
      </c>
      <c r="U94" s="24" t="n">
        <f aca="false">T94-(T94*4.6%)</f>
        <v>0</v>
      </c>
      <c r="V94" s="5" t="n">
        <v>0</v>
      </c>
      <c r="W94" s="24" t="n">
        <f aca="false">I94-V94</f>
        <v>0</v>
      </c>
      <c r="X94" s="24" t="n">
        <f aca="false">W94-U94</f>
        <v>0</v>
      </c>
      <c r="Y94" s="23" t="n">
        <v>0</v>
      </c>
      <c r="Z94" s="24" t="n">
        <f aca="false">G94*Y94</f>
        <v>0</v>
      </c>
      <c r="AA94" s="23" t="n">
        <v>0</v>
      </c>
      <c r="AB94" s="24" t="n">
        <f aca="false">J94*AA94</f>
        <v>0</v>
      </c>
      <c r="AC94" s="24" t="n">
        <f aca="false">Z94+AB94</f>
        <v>0</v>
      </c>
      <c r="AD94" s="24" t="n">
        <f aca="false">AC94-(AC94*11.5%)</f>
        <v>0</v>
      </c>
      <c r="AE94" s="25" t="n">
        <v>0</v>
      </c>
      <c r="AF94" s="24" t="n">
        <f aca="false">I94+J94-AE94</f>
        <v>0</v>
      </c>
      <c r="AG94" s="24" t="n">
        <f aca="false">AF94-AD94</f>
        <v>0</v>
      </c>
      <c r="AH94" s="24" t="n">
        <f aca="false">J94+U94-AD94</f>
        <v>0</v>
      </c>
    </row>
    <row r="95" customFormat="false" ht="15" hidden="false" customHeight="false" outlineLevel="0" collapsed="false">
      <c r="A95" s="19"/>
      <c r="B95" s="20"/>
      <c r="C95" s="21"/>
      <c r="D95" s="4"/>
      <c r="F95" s="5"/>
      <c r="G95" s="5"/>
      <c r="H95" s="5"/>
      <c r="I95" s="6"/>
      <c r="J95" s="7"/>
      <c r="K95" s="4"/>
      <c r="L95" s="4"/>
      <c r="M95" s="4"/>
      <c r="Q95" s="22"/>
      <c r="S95" s="23" t="n">
        <v>0</v>
      </c>
      <c r="T95" s="24" t="n">
        <f aca="false">H95*S95</f>
        <v>0</v>
      </c>
      <c r="U95" s="24" t="n">
        <f aca="false">T95-(T95*4.6%)</f>
        <v>0</v>
      </c>
      <c r="V95" s="5" t="n">
        <v>0</v>
      </c>
      <c r="W95" s="24" t="n">
        <f aca="false">I95-V95</f>
        <v>0</v>
      </c>
      <c r="X95" s="24" t="n">
        <f aca="false">W95-U95</f>
        <v>0</v>
      </c>
      <c r="Y95" s="23" t="n">
        <v>0</v>
      </c>
      <c r="Z95" s="24" t="n">
        <f aca="false">G95*Y95</f>
        <v>0</v>
      </c>
      <c r="AA95" s="23" t="n">
        <v>0</v>
      </c>
      <c r="AB95" s="24" t="n">
        <f aca="false">J95*AA95</f>
        <v>0</v>
      </c>
      <c r="AC95" s="24" t="n">
        <f aca="false">Z95+AB95</f>
        <v>0</v>
      </c>
      <c r="AD95" s="24" t="n">
        <f aca="false">AC95-(AC95*11.5%)</f>
        <v>0</v>
      </c>
      <c r="AE95" s="25" t="n">
        <v>0</v>
      </c>
      <c r="AF95" s="24" t="n">
        <f aca="false">I95+J95-AE95</f>
        <v>0</v>
      </c>
      <c r="AG95" s="24" t="n">
        <f aca="false">AF95-AD95</f>
        <v>0</v>
      </c>
      <c r="AH95" s="24" t="n">
        <f aca="false">J95+U95-AD95</f>
        <v>0</v>
      </c>
    </row>
    <row r="96" customFormat="false" ht="15" hidden="false" customHeight="false" outlineLevel="0" collapsed="false">
      <c r="A96" s="19"/>
      <c r="B96" s="20"/>
      <c r="C96" s="21"/>
      <c r="D96" s="4"/>
      <c r="F96" s="5"/>
      <c r="G96" s="5"/>
      <c r="H96" s="5"/>
      <c r="I96" s="6"/>
      <c r="J96" s="7"/>
      <c r="K96" s="4"/>
      <c r="L96" s="4"/>
      <c r="M96" s="4"/>
      <c r="Q96" s="22"/>
      <c r="S96" s="23" t="n">
        <v>0</v>
      </c>
      <c r="T96" s="24" t="n">
        <f aca="false">H96*S96</f>
        <v>0</v>
      </c>
      <c r="U96" s="24" t="n">
        <f aca="false">T96-(T96*4.6%)</f>
        <v>0</v>
      </c>
      <c r="V96" s="5" t="n">
        <v>0</v>
      </c>
      <c r="W96" s="24" t="n">
        <f aca="false">I96-V96</f>
        <v>0</v>
      </c>
      <c r="X96" s="24" t="n">
        <f aca="false">W96-U96</f>
        <v>0</v>
      </c>
      <c r="Y96" s="23" t="n">
        <v>0</v>
      </c>
      <c r="Z96" s="24" t="n">
        <f aca="false">G96*Y96</f>
        <v>0</v>
      </c>
      <c r="AA96" s="23" t="n">
        <v>0</v>
      </c>
      <c r="AB96" s="24" t="n">
        <f aca="false">J96*AA96</f>
        <v>0</v>
      </c>
      <c r="AC96" s="24" t="n">
        <f aca="false">Z96+AB96</f>
        <v>0</v>
      </c>
      <c r="AD96" s="24" t="n">
        <f aca="false">AC96-(AC96*11.5%)</f>
        <v>0</v>
      </c>
      <c r="AE96" s="25" t="n">
        <v>0</v>
      </c>
      <c r="AF96" s="24" t="n">
        <f aca="false">I96+J96-AE96</f>
        <v>0</v>
      </c>
      <c r="AG96" s="24" t="n">
        <f aca="false">AF96-AD96</f>
        <v>0</v>
      </c>
      <c r="AH96" s="24" t="n">
        <f aca="false">J96+U96-AD96</f>
        <v>0</v>
      </c>
    </row>
    <row r="97" customFormat="false" ht="15" hidden="false" customHeight="false" outlineLevel="0" collapsed="false">
      <c r="A97" s="19"/>
      <c r="B97" s="20"/>
      <c r="C97" s="21"/>
      <c r="D97" s="4"/>
      <c r="F97" s="5"/>
      <c r="G97" s="5"/>
      <c r="H97" s="5"/>
      <c r="I97" s="6"/>
      <c r="J97" s="7"/>
      <c r="K97" s="4"/>
      <c r="L97" s="4"/>
      <c r="M97" s="4"/>
      <c r="Q97" s="22"/>
      <c r="S97" s="23" t="n">
        <v>0</v>
      </c>
      <c r="T97" s="24" t="n">
        <f aca="false">H97*S97</f>
        <v>0</v>
      </c>
      <c r="U97" s="24" t="n">
        <f aca="false">T97-(T97*4.6%)</f>
        <v>0</v>
      </c>
      <c r="V97" s="5" t="n">
        <v>0</v>
      </c>
      <c r="W97" s="24" t="n">
        <f aca="false">I97-V97</f>
        <v>0</v>
      </c>
      <c r="X97" s="24" t="n">
        <f aca="false">W97-U97</f>
        <v>0</v>
      </c>
      <c r="Y97" s="23" t="n">
        <v>0</v>
      </c>
      <c r="Z97" s="24" t="n">
        <f aca="false">G97*Y97</f>
        <v>0</v>
      </c>
      <c r="AA97" s="23" t="n">
        <v>0</v>
      </c>
      <c r="AB97" s="24" t="n">
        <f aca="false">J97*AA97</f>
        <v>0</v>
      </c>
      <c r="AC97" s="24" t="n">
        <f aca="false">Z97+AB97</f>
        <v>0</v>
      </c>
      <c r="AD97" s="24" t="n">
        <f aca="false">AC97-(AC97*11.5%)</f>
        <v>0</v>
      </c>
      <c r="AE97" s="25" t="n">
        <v>0</v>
      </c>
      <c r="AF97" s="24" t="n">
        <f aca="false">I97+J97-AE97</f>
        <v>0</v>
      </c>
      <c r="AG97" s="24" t="n">
        <f aca="false">AF97-AD97</f>
        <v>0</v>
      </c>
      <c r="AH97" s="24" t="n">
        <f aca="false">J97+U97-AD97</f>
        <v>0</v>
      </c>
    </row>
    <row r="98" customFormat="false" ht="15" hidden="false" customHeight="false" outlineLevel="0" collapsed="false">
      <c r="A98" s="19"/>
      <c r="B98" s="20"/>
      <c r="C98" s="21"/>
      <c r="D98" s="4"/>
      <c r="F98" s="5"/>
      <c r="G98" s="5"/>
      <c r="H98" s="5"/>
      <c r="I98" s="6"/>
      <c r="J98" s="7"/>
      <c r="K98" s="4"/>
      <c r="L98" s="4"/>
      <c r="M98" s="4"/>
      <c r="Q98" s="22"/>
      <c r="S98" s="23" t="n">
        <v>0</v>
      </c>
      <c r="T98" s="24" t="n">
        <f aca="false">H98*S98</f>
        <v>0</v>
      </c>
      <c r="U98" s="24" t="n">
        <f aca="false">T98-(T98*4.6%)</f>
        <v>0</v>
      </c>
      <c r="V98" s="5" t="n">
        <v>0</v>
      </c>
      <c r="W98" s="24" t="n">
        <f aca="false">I98-V98</f>
        <v>0</v>
      </c>
      <c r="X98" s="24" t="n">
        <f aca="false">W98-U98</f>
        <v>0</v>
      </c>
      <c r="Y98" s="23" t="n">
        <v>0</v>
      </c>
      <c r="Z98" s="24" t="n">
        <f aca="false">G98*Y98</f>
        <v>0</v>
      </c>
      <c r="AA98" s="23" t="n">
        <v>0</v>
      </c>
      <c r="AB98" s="24" t="n">
        <f aca="false">J98*AA98</f>
        <v>0</v>
      </c>
      <c r="AC98" s="24" t="n">
        <f aca="false">Z98+AB98</f>
        <v>0</v>
      </c>
      <c r="AD98" s="24" t="n">
        <f aca="false">AC98-(AC98*11.5%)</f>
        <v>0</v>
      </c>
      <c r="AE98" s="25" t="n">
        <v>0</v>
      </c>
      <c r="AF98" s="24" t="n">
        <f aca="false">I98+J98-AE98</f>
        <v>0</v>
      </c>
      <c r="AG98" s="24" t="n">
        <f aca="false">AF98-AD98</f>
        <v>0</v>
      </c>
      <c r="AH98" s="24" t="n">
        <f aca="false">J98+U98-AD98</f>
        <v>0</v>
      </c>
    </row>
    <row r="99" customFormat="false" ht="15" hidden="false" customHeight="false" outlineLevel="0" collapsed="false">
      <c r="A99" s="19"/>
      <c r="B99" s="20"/>
      <c r="C99" s="21"/>
      <c r="D99" s="4"/>
      <c r="F99" s="5"/>
      <c r="G99" s="5"/>
      <c r="H99" s="5"/>
      <c r="I99" s="6"/>
      <c r="J99" s="7"/>
      <c r="K99" s="4"/>
      <c r="L99" s="4"/>
      <c r="M99" s="4"/>
      <c r="Q99" s="22"/>
      <c r="S99" s="23" t="n">
        <v>0</v>
      </c>
      <c r="T99" s="24" t="n">
        <f aca="false">H99*S99</f>
        <v>0</v>
      </c>
      <c r="U99" s="24" t="n">
        <f aca="false">T99-(T99*4.6%)</f>
        <v>0</v>
      </c>
      <c r="V99" s="5" t="n">
        <v>0</v>
      </c>
      <c r="W99" s="24" t="n">
        <f aca="false">I99-V99</f>
        <v>0</v>
      </c>
      <c r="X99" s="24" t="n">
        <f aca="false">W99-U99</f>
        <v>0</v>
      </c>
      <c r="Y99" s="23" t="n">
        <v>0</v>
      </c>
      <c r="Z99" s="24" t="n">
        <f aca="false">G99*Y99</f>
        <v>0</v>
      </c>
      <c r="AA99" s="23" t="n">
        <v>0</v>
      </c>
      <c r="AB99" s="24" t="n">
        <f aca="false">J99*AA99</f>
        <v>0</v>
      </c>
      <c r="AC99" s="24" t="n">
        <f aca="false">Z99+AB99</f>
        <v>0</v>
      </c>
      <c r="AD99" s="24" t="n">
        <f aca="false">AC99-(AC99*11.5%)</f>
        <v>0</v>
      </c>
      <c r="AE99" s="25" t="n">
        <v>0</v>
      </c>
      <c r="AF99" s="24" t="n">
        <f aca="false">I99+J99-AE99</f>
        <v>0</v>
      </c>
      <c r="AG99" s="24" t="n">
        <f aca="false">AF99-AD99</f>
        <v>0</v>
      </c>
      <c r="AH99" s="24" t="n">
        <f aca="false">J99+U99-AD99</f>
        <v>0</v>
      </c>
    </row>
    <row r="100" customFormat="false" ht="15" hidden="false" customHeight="false" outlineLevel="0" collapsed="false">
      <c r="A100" s="19"/>
      <c r="B100" s="20"/>
      <c r="C100" s="21"/>
      <c r="D100" s="4"/>
      <c r="F100" s="5"/>
      <c r="G100" s="5"/>
      <c r="H100" s="5"/>
      <c r="I100" s="6"/>
      <c r="J100" s="7"/>
      <c r="K100" s="4"/>
      <c r="L100" s="4"/>
      <c r="M100" s="4"/>
      <c r="Q100" s="22"/>
      <c r="S100" s="23" t="n">
        <v>0</v>
      </c>
      <c r="T100" s="24" t="n">
        <f aca="false">H100*S100</f>
        <v>0</v>
      </c>
      <c r="U100" s="24" t="n">
        <f aca="false">T100-(T100*4.6%)</f>
        <v>0</v>
      </c>
      <c r="V100" s="5" t="n">
        <v>0</v>
      </c>
      <c r="W100" s="24" t="n">
        <f aca="false">I100-V100</f>
        <v>0</v>
      </c>
      <c r="X100" s="24" t="n">
        <f aca="false">W100-U100</f>
        <v>0</v>
      </c>
      <c r="Y100" s="23" t="n">
        <v>0</v>
      </c>
      <c r="Z100" s="24" t="n">
        <f aca="false">G100*Y100</f>
        <v>0</v>
      </c>
      <c r="AA100" s="23" t="n">
        <v>0</v>
      </c>
      <c r="AB100" s="24" t="n">
        <f aca="false">J100*AA100</f>
        <v>0</v>
      </c>
      <c r="AC100" s="24" t="n">
        <f aca="false">Z100+AB100</f>
        <v>0</v>
      </c>
      <c r="AD100" s="24" t="n">
        <f aca="false">AC100-(AC100*11.5%)</f>
        <v>0</v>
      </c>
      <c r="AE100" s="25" t="n">
        <v>0</v>
      </c>
      <c r="AF100" s="24" t="n">
        <f aca="false">I100+J100-AE100</f>
        <v>0</v>
      </c>
      <c r="AG100" s="24" t="n">
        <f aca="false">AF100-AD100</f>
        <v>0</v>
      </c>
      <c r="AH100" s="24" t="n">
        <f aca="false">J100+U100-AD100</f>
        <v>0</v>
      </c>
    </row>
    <row r="101" customFormat="false" ht="15" hidden="false" customHeight="false" outlineLevel="0" collapsed="false">
      <c r="A101" s="19"/>
      <c r="B101" s="20"/>
      <c r="C101" s="21"/>
      <c r="D101" s="4"/>
      <c r="F101" s="5"/>
      <c r="G101" s="5"/>
      <c r="H101" s="5"/>
      <c r="I101" s="6"/>
      <c r="J101" s="7"/>
      <c r="K101" s="4"/>
      <c r="L101" s="4"/>
      <c r="M101" s="4"/>
      <c r="Q101" s="22"/>
      <c r="S101" s="23" t="n">
        <v>0</v>
      </c>
      <c r="T101" s="24" t="n">
        <f aca="false">H101*S101</f>
        <v>0</v>
      </c>
      <c r="U101" s="24" t="n">
        <f aca="false">T101-(T101*4.6%)</f>
        <v>0</v>
      </c>
      <c r="V101" s="5" t="n">
        <v>0</v>
      </c>
      <c r="W101" s="24" t="n">
        <f aca="false">I101-V101</f>
        <v>0</v>
      </c>
      <c r="X101" s="24" t="n">
        <f aca="false">W101-U101</f>
        <v>0</v>
      </c>
      <c r="Y101" s="23" t="n">
        <v>0</v>
      </c>
      <c r="Z101" s="24" t="n">
        <f aca="false">G101*Y101</f>
        <v>0</v>
      </c>
      <c r="AA101" s="23" t="n">
        <v>0</v>
      </c>
      <c r="AB101" s="24" t="n">
        <f aca="false">J101*AA101</f>
        <v>0</v>
      </c>
      <c r="AC101" s="24" t="n">
        <f aca="false">Z101+AB101</f>
        <v>0</v>
      </c>
      <c r="AD101" s="24" t="n">
        <f aca="false">AC101-(AC101*11.5%)</f>
        <v>0</v>
      </c>
      <c r="AE101" s="25" t="n">
        <v>0</v>
      </c>
      <c r="AF101" s="24" t="n">
        <f aca="false">I101+J101-AE101</f>
        <v>0</v>
      </c>
      <c r="AG101" s="24" t="n">
        <f aca="false">AF101-AD101</f>
        <v>0</v>
      </c>
      <c r="AH101" s="24" t="n">
        <f aca="false">J101+U101-AD101</f>
        <v>0</v>
      </c>
    </row>
    <row r="102" customFormat="false" ht="15" hidden="false" customHeight="false" outlineLevel="0" collapsed="false">
      <c r="A102" s="19"/>
      <c r="B102" s="20"/>
      <c r="C102" s="21"/>
      <c r="D102" s="4"/>
      <c r="F102" s="5"/>
      <c r="G102" s="5"/>
      <c r="H102" s="5"/>
      <c r="I102" s="6"/>
      <c r="J102" s="7"/>
      <c r="K102" s="4"/>
      <c r="L102" s="4"/>
      <c r="M102" s="4"/>
      <c r="Q102" s="22"/>
      <c r="S102" s="23" t="n">
        <v>0</v>
      </c>
      <c r="T102" s="24" t="n">
        <f aca="false">H102*S102</f>
        <v>0</v>
      </c>
      <c r="U102" s="24" t="n">
        <f aca="false">T102-(T102*4.6%)</f>
        <v>0</v>
      </c>
      <c r="V102" s="5" t="n">
        <v>0</v>
      </c>
      <c r="W102" s="24" t="n">
        <f aca="false">I102-V102</f>
        <v>0</v>
      </c>
      <c r="X102" s="24" t="n">
        <f aca="false">W102-U102</f>
        <v>0</v>
      </c>
      <c r="Y102" s="23" t="n">
        <v>0</v>
      </c>
      <c r="Z102" s="24" t="n">
        <f aca="false">G102*Y102</f>
        <v>0</v>
      </c>
      <c r="AA102" s="23" t="n">
        <v>0</v>
      </c>
      <c r="AB102" s="24" t="n">
        <f aca="false">J102*AA102</f>
        <v>0</v>
      </c>
      <c r="AC102" s="24" t="n">
        <f aca="false">Z102+AB102</f>
        <v>0</v>
      </c>
      <c r="AD102" s="24" t="n">
        <f aca="false">AC102-(AC102*11.5%)</f>
        <v>0</v>
      </c>
      <c r="AE102" s="25" t="n">
        <v>0</v>
      </c>
      <c r="AF102" s="24" t="n">
        <f aca="false">I102+J102-AE102</f>
        <v>0</v>
      </c>
      <c r="AG102" s="24" t="n">
        <f aca="false">AF102-AD102</f>
        <v>0</v>
      </c>
      <c r="AH102" s="24" t="n">
        <f aca="false">J102+U102-AD102</f>
        <v>0</v>
      </c>
    </row>
    <row r="103" customFormat="false" ht="15" hidden="false" customHeight="false" outlineLevel="0" collapsed="false">
      <c r="A103" s="19"/>
      <c r="B103" s="20"/>
      <c r="C103" s="21"/>
      <c r="D103" s="4"/>
      <c r="F103" s="5"/>
      <c r="G103" s="5"/>
      <c r="H103" s="5"/>
      <c r="I103" s="6"/>
      <c r="J103" s="7"/>
      <c r="K103" s="4"/>
      <c r="L103" s="4"/>
      <c r="M103" s="4"/>
      <c r="Q103" s="22"/>
      <c r="S103" s="23" t="n">
        <v>0</v>
      </c>
      <c r="T103" s="24" t="n">
        <f aca="false">H103*S103</f>
        <v>0</v>
      </c>
      <c r="U103" s="24" t="n">
        <f aca="false">T103-(T103*4.6%)</f>
        <v>0</v>
      </c>
      <c r="V103" s="5" t="n">
        <v>0</v>
      </c>
      <c r="W103" s="24" t="n">
        <f aca="false">I103-V103</f>
        <v>0</v>
      </c>
      <c r="X103" s="24" t="n">
        <f aca="false">W103-U103</f>
        <v>0</v>
      </c>
      <c r="Y103" s="23" t="n">
        <v>0</v>
      </c>
      <c r="Z103" s="24" t="n">
        <f aca="false">G103*Y103</f>
        <v>0</v>
      </c>
      <c r="AA103" s="23" t="n">
        <v>0</v>
      </c>
      <c r="AB103" s="24" t="n">
        <f aca="false">J103*AA103</f>
        <v>0</v>
      </c>
      <c r="AC103" s="24" t="n">
        <f aca="false">Z103+AB103</f>
        <v>0</v>
      </c>
      <c r="AD103" s="24" t="n">
        <f aca="false">AC103-(AC103*11.5%)</f>
        <v>0</v>
      </c>
      <c r="AE103" s="25" t="n">
        <v>0</v>
      </c>
      <c r="AF103" s="24" t="n">
        <f aca="false">I103+J103-AE103</f>
        <v>0</v>
      </c>
      <c r="AG103" s="24" t="n">
        <f aca="false">AF103-AD103</f>
        <v>0</v>
      </c>
      <c r="AH103" s="24" t="n">
        <f aca="false">J103+U103-AD103</f>
        <v>0</v>
      </c>
    </row>
    <row r="104" customFormat="false" ht="15" hidden="false" customHeight="false" outlineLevel="0" collapsed="false">
      <c r="A104" s="19"/>
      <c r="B104" s="20"/>
      <c r="C104" s="21"/>
      <c r="D104" s="4"/>
      <c r="F104" s="5"/>
      <c r="G104" s="5"/>
      <c r="H104" s="5"/>
      <c r="I104" s="6"/>
      <c r="J104" s="7"/>
      <c r="K104" s="4"/>
      <c r="L104" s="4"/>
      <c r="M104" s="4"/>
      <c r="Q104" s="22"/>
      <c r="S104" s="23" t="n">
        <v>0</v>
      </c>
      <c r="T104" s="24" t="n">
        <f aca="false">H104*S104</f>
        <v>0</v>
      </c>
      <c r="U104" s="24" t="n">
        <f aca="false">T104-(T104*4.6%)</f>
        <v>0</v>
      </c>
      <c r="V104" s="5" t="n">
        <v>0</v>
      </c>
      <c r="W104" s="24" t="n">
        <f aca="false">I104-V104</f>
        <v>0</v>
      </c>
      <c r="X104" s="24" t="n">
        <f aca="false">W104-U104</f>
        <v>0</v>
      </c>
      <c r="Y104" s="23" t="n">
        <v>0</v>
      </c>
      <c r="Z104" s="24" t="n">
        <f aca="false">G104*Y104</f>
        <v>0</v>
      </c>
      <c r="AA104" s="23" t="n">
        <v>0</v>
      </c>
      <c r="AB104" s="24" t="n">
        <f aca="false">J104*AA104</f>
        <v>0</v>
      </c>
      <c r="AC104" s="24" t="n">
        <f aca="false">Z104+AB104</f>
        <v>0</v>
      </c>
      <c r="AD104" s="24" t="n">
        <f aca="false">AC104-(AC104*11.5%)</f>
        <v>0</v>
      </c>
      <c r="AE104" s="25" t="n">
        <v>0</v>
      </c>
      <c r="AF104" s="24" t="n">
        <f aca="false">I104+J104-AE104</f>
        <v>0</v>
      </c>
      <c r="AG104" s="24" t="n">
        <f aca="false">AF104-AD104</f>
        <v>0</v>
      </c>
      <c r="AH104" s="24" t="n">
        <f aca="false">J104+U104-AD104</f>
        <v>0</v>
      </c>
    </row>
    <row r="105" customFormat="false" ht="15" hidden="false" customHeight="false" outlineLevel="0" collapsed="false">
      <c r="A105" s="19"/>
      <c r="B105" s="20"/>
      <c r="C105" s="21"/>
      <c r="D105" s="4"/>
      <c r="F105" s="5"/>
      <c r="G105" s="5"/>
      <c r="H105" s="5"/>
      <c r="I105" s="6"/>
      <c r="J105" s="7"/>
      <c r="K105" s="4"/>
      <c r="L105" s="4"/>
      <c r="M105" s="4"/>
      <c r="Q105" s="22"/>
      <c r="S105" s="23" t="n">
        <v>0</v>
      </c>
      <c r="T105" s="24" t="n">
        <f aca="false">H105*S105</f>
        <v>0</v>
      </c>
      <c r="U105" s="24" t="n">
        <f aca="false">T105-(T105*4.6%)</f>
        <v>0</v>
      </c>
      <c r="V105" s="5" t="n">
        <v>0</v>
      </c>
      <c r="W105" s="24" t="n">
        <f aca="false">I105-V105</f>
        <v>0</v>
      </c>
      <c r="X105" s="24" t="n">
        <f aca="false">W105-U105</f>
        <v>0</v>
      </c>
      <c r="Y105" s="23" t="n">
        <v>0</v>
      </c>
      <c r="Z105" s="24" t="n">
        <f aca="false">G105*Y105</f>
        <v>0</v>
      </c>
      <c r="AA105" s="23" t="n">
        <v>0</v>
      </c>
      <c r="AB105" s="24" t="n">
        <f aca="false">J105*AA105</f>
        <v>0</v>
      </c>
      <c r="AC105" s="24" t="n">
        <f aca="false">Z105+AB105</f>
        <v>0</v>
      </c>
      <c r="AD105" s="24" t="n">
        <f aca="false">AC105-(AC105*11.5%)</f>
        <v>0</v>
      </c>
      <c r="AE105" s="25" t="n">
        <v>0</v>
      </c>
      <c r="AF105" s="24" t="n">
        <f aca="false">I105+J105-AE105</f>
        <v>0</v>
      </c>
      <c r="AG105" s="24" t="n">
        <f aca="false">AF105-AD105</f>
        <v>0</v>
      </c>
      <c r="AH105" s="24" t="n">
        <f aca="false">J105+U105-AD105</f>
        <v>0</v>
      </c>
    </row>
    <row r="106" customFormat="false" ht="15" hidden="false" customHeight="false" outlineLevel="0" collapsed="false">
      <c r="A106" s="19"/>
      <c r="B106" s="20"/>
      <c r="C106" s="21"/>
      <c r="D106" s="4"/>
      <c r="F106" s="5"/>
      <c r="G106" s="5"/>
      <c r="H106" s="5"/>
      <c r="I106" s="6"/>
      <c r="J106" s="7"/>
      <c r="K106" s="4"/>
      <c r="L106" s="4"/>
      <c r="M106" s="4"/>
      <c r="Q106" s="22"/>
      <c r="S106" s="23" t="n">
        <v>0</v>
      </c>
      <c r="T106" s="24" t="n">
        <f aca="false">H106*S106</f>
        <v>0</v>
      </c>
      <c r="U106" s="24" t="n">
        <f aca="false">T106-(T106*4.6%)</f>
        <v>0</v>
      </c>
      <c r="V106" s="5" t="n">
        <v>0</v>
      </c>
      <c r="W106" s="24" t="n">
        <f aca="false">I106-V106</f>
        <v>0</v>
      </c>
      <c r="X106" s="24" t="n">
        <f aca="false">W106-U106</f>
        <v>0</v>
      </c>
      <c r="Y106" s="23" t="n">
        <v>0</v>
      </c>
      <c r="Z106" s="24" t="n">
        <f aca="false">G106*Y106</f>
        <v>0</v>
      </c>
      <c r="AA106" s="23" t="n">
        <v>0</v>
      </c>
      <c r="AB106" s="24" t="n">
        <f aca="false">J106*AA106</f>
        <v>0</v>
      </c>
      <c r="AC106" s="24" t="n">
        <f aca="false">Z106+AB106</f>
        <v>0</v>
      </c>
      <c r="AD106" s="24" t="n">
        <f aca="false">AC106-(AC106*11.5%)</f>
        <v>0</v>
      </c>
      <c r="AE106" s="25" t="n">
        <v>0</v>
      </c>
      <c r="AF106" s="24" t="n">
        <f aca="false">I106+J106-AE106</f>
        <v>0</v>
      </c>
      <c r="AG106" s="24" t="n">
        <f aca="false">AF106-AD106</f>
        <v>0</v>
      </c>
      <c r="AH106" s="24" t="n">
        <f aca="false">J106+U106-AD106</f>
        <v>0</v>
      </c>
    </row>
    <row r="107" customFormat="false" ht="15" hidden="false" customHeight="false" outlineLevel="0" collapsed="false">
      <c r="A107" s="19"/>
      <c r="B107" s="20"/>
      <c r="C107" s="21"/>
      <c r="D107" s="4"/>
      <c r="F107" s="5"/>
      <c r="G107" s="5"/>
      <c r="H107" s="5"/>
      <c r="I107" s="6"/>
      <c r="J107" s="7"/>
      <c r="K107" s="4"/>
      <c r="L107" s="4"/>
      <c r="M107" s="4"/>
      <c r="Q107" s="22"/>
      <c r="S107" s="23" t="n">
        <v>0</v>
      </c>
      <c r="T107" s="24" t="n">
        <f aca="false">H107*S107</f>
        <v>0</v>
      </c>
      <c r="U107" s="24" t="n">
        <f aca="false">T107-(T107*4.6%)</f>
        <v>0</v>
      </c>
      <c r="V107" s="5" t="n">
        <v>0</v>
      </c>
      <c r="W107" s="24" t="n">
        <f aca="false">I107-V107</f>
        <v>0</v>
      </c>
      <c r="X107" s="24" t="n">
        <f aca="false">W107-U107</f>
        <v>0</v>
      </c>
      <c r="Y107" s="23" t="n">
        <v>0</v>
      </c>
      <c r="Z107" s="24" t="n">
        <f aca="false">G107*Y107</f>
        <v>0</v>
      </c>
      <c r="AA107" s="23" t="n">
        <v>0</v>
      </c>
      <c r="AB107" s="24" t="n">
        <f aca="false">J107*AA107</f>
        <v>0</v>
      </c>
      <c r="AC107" s="24" t="n">
        <f aca="false">Z107+AB107</f>
        <v>0</v>
      </c>
      <c r="AD107" s="24" t="n">
        <f aca="false">AC107-(AC107*11.5%)</f>
        <v>0</v>
      </c>
      <c r="AE107" s="25" t="n">
        <v>0</v>
      </c>
      <c r="AF107" s="24" t="n">
        <f aca="false">I107+J107-AE107</f>
        <v>0</v>
      </c>
      <c r="AG107" s="24" t="n">
        <f aca="false">AF107-AD107</f>
        <v>0</v>
      </c>
      <c r="AH107" s="24" t="n">
        <f aca="false">J107+U107-AD107</f>
        <v>0</v>
      </c>
    </row>
    <row r="108" customFormat="false" ht="15" hidden="false" customHeight="false" outlineLevel="0" collapsed="false">
      <c r="A108" s="19"/>
      <c r="B108" s="20"/>
      <c r="C108" s="21"/>
      <c r="D108" s="4"/>
      <c r="F108" s="5"/>
      <c r="G108" s="5"/>
      <c r="H108" s="5"/>
      <c r="I108" s="6"/>
      <c r="J108" s="7"/>
      <c r="K108" s="4"/>
      <c r="L108" s="4"/>
      <c r="M108" s="4"/>
      <c r="Q108" s="22"/>
      <c r="S108" s="23" t="n">
        <v>0</v>
      </c>
      <c r="T108" s="24" t="n">
        <f aca="false">H108*S108</f>
        <v>0</v>
      </c>
      <c r="U108" s="24" t="n">
        <f aca="false">T108-(T108*4.6%)</f>
        <v>0</v>
      </c>
      <c r="V108" s="5" t="n">
        <v>0</v>
      </c>
      <c r="W108" s="24" t="n">
        <f aca="false">I108-V108</f>
        <v>0</v>
      </c>
      <c r="X108" s="24" t="n">
        <f aca="false">W108-U108</f>
        <v>0</v>
      </c>
      <c r="Y108" s="23" t="n">
        <v>0</v>
      </c>
      <c r="Z108" s="24" t="n">
        <f aca="false">G108*Y108</f>
        <v>0</v>
      </c>
      <c r="AA108" s="23" t="n">
        <v>0</v>
      </c>
      <c r="AB108" s="24" t="n">
        <f aca="false">J108*AA108</f>
        <v>0</v>
      </c>
      <c r="AC108" s="24" t="n">
        <f aca="false">Z108+AB108</f>
        <v>0</v>
      </c>
      <c r="AD108" s="24" t="n">
        <f aca="false">AC108-(AC108*11.5%)</f>
        <v>0</v>
      </c>
      <c r="AE108" s="25" t="n">
        <v>0</v>
      </c>
      <c r="AF108" s="24" t="n">
        <f aca="false">I108+J108-AE108</f>
        <v>0</v>
      </c>
      <c r="AG108" s="24" t="n">
        <f aca="false">AF108-AD108</f>
        <v>0</v>
      </c>
      <c r="AH108" s="24" t="n">
        <f aca="false">J108+U108-AD108</f>
        <v>0</v>
      </c>
    </row>
    <row r="109" customFormat="false" ht="15" hidden="false" customHeight="false" outlineLevel="0" collapsed="false">
      <c r="A109" s="19"/>
      <c r="B109" s="20"/>
      <c r="C109" s="21"/>
      <c r="D109" s="4"/>
      <c r="F109" s="5"/>
      <c r="G109" s="5"/>
      <c r="H109" s="5"/>
      <c r="I109" s="6"/>
      <c r="J109" s="7"/>
      <c r="K109" s="4"/>
      <c r="L109" s="4"/>
      <c r="M109" s="4"/>
      <c r="Q109" s="22"/>
      <c r="S109" s="23" t="n">
        <v>0</v>
      </c>
      <c r="T109" s="24" t="n">
        <f aca="false">H109*S109</f>
        <v>0</v>
      </c>
      <c r="U109" s="24" t="n">
        <f aca="false">T109-(T109*4.6%)</f>
        <v>0</v>
      </c>
      <c r="V109" s="5" t="n">
        <v>0</v>
      </c>
      <c r="W109" s="24" t="n">
        <f aca="false">I109-V109</f>
        <v>0</v>
      </c>
      <c r="X109" s="24" t="n">
        <f aca="false">W109-U109</f>
        <v>0</v>
      </c>
      <c r="Y109" s="23" t="n">
        <v>0</v>
      </c>
      <c r="Z109" s="24" t="n">
        <f aca="false">G109*Y109</f>
        <v>0</v>
      </c>
      <c r="AA109" s="23" t="n">
        <v>0</v>
      </c>
      <c r="AB109" s="24" t="n">
        <f aca="false">J109*AA109</f>
        <v>0</v>
      </c>
      <c r="AC109" s="24" t="n">
        <f aca="false">Z109+AB109</f>
        <v>0</v>
      </c>
      <c r="AD109" s="24" t="n">
        <f aca="false">AC109-(AC109*11.5%)</f>
        <v>0</v>
      </c>
      <c r="AE109" s="25" t="n">
        <v>0</v>
      </c>
      <c r="AF109" s="24" t="n">
        <f aca="false">I109+J109-AE109</f>
        <v>0</v>
      </c>
      <c r="AG109" s="24" t="n">
        <f aca="false">AF109-AD109</f>
        <v>0</v>
      </c>
      <c r="AH109" s="24" t="n">
        <f aca="false">J109+U109-AD109</f>
        <v>0</v>
      </c>
    </row>
    <row r="110" customFormat="false" ht="15" hidden="false" customHeight="false" outlineLevel="0" collapsed="false">
      <c r="A110" s="19"/>
      <c r="B110" s="20"/>
      <c r="C110" s="21"/>
      <c r="D110" s="4"/>
      <c r="F110" s="5"/>
      <c r="G110" s="5"/>
      <c r="H110" s="5"/>
      <c r="I110" s="6"/>
      <c r="J110" s="7"/>
      <c r="K110" s="4"/>
      <c r="L110" s="4"/>
      <c r="M110" s="4"/>
      <c r="Q110" s="22"/>
      <c r="S110" s="23" t="n">
        <v>0</v>
      </c>
      <c r="T110" s="24" t="n">
        <f aca="false">H110*S110</f>
        <v>0</v>
      </c>
      <c r="U110" s="24" t="n">
        <f aca="false">T110-(T110*4.6%)</f>
        <v>0</v>
      </c>
      <c r="V110" s="5" t="n">
        <v>0</v>
      </c>
      <c r="W110" s="24" t="n">
        <f aca="false">I110-V110</f>
        <v>0</v>
      </c>
      <c r="X110" s="24" t="n">
        <f aca="false">W110-U110</f>
        <v>0</v>
      </c>
      <c r="Y110" s="23" t="n">
        <v>0</v>
      </c>
      <c r="Z110" s="24" t="n">
        <f aca="false">G110*Y110</f>
        <v>0</v>
      </c>
      <c r="AA110" s="23" t="n">
        <v>0</v>
      </c>
      <c r="AB110" s="24" t="n">
        <f aca="false">J110*AA110</f>
        <v>0</v>
      </c>
      <c r="AC110" s="24" t="n">
        <f aca="false">Z110+AB110</f>
        <v>0</v>
      </c>
      <c r="AD110" s="24" t="n">
        <f aca="false">AC110-(AC110*11.5%)</f>
        <v>0</v>
      </c>
      <c r="AE110" s="25" t="n">
        <v>0</v>
      </c>
      <c r="AF110" s="24" t="n">
        <f aca="false">I110+J110-AE110</f>
        <v>0</v>
      </c>
      <c r="AG110" s="24" t="n">
        <f aca="false">AF110-AD110</f>
        <v>0</v>
      </c>
      <c r="AH110" s="24" t="n">
        <f aca="false">J110+U110-AD110</f>
        <v>0</v>
      </c>
    </row>
    <row r="111" customFormat="false" ht="15" hidden="false" customHeight="false" outlineLevel="0" collapsed="false">
      <c r="A111" s="19"/>
      <c r="B111" s="20"/>
      <c r="C111" s="21"/>
      <c r="D111" s="4"/>
      <c r="F111" s="5"/>
      <c r="G111" s="5"/>
      <c r="H111" s="5"/>
      <c r="I111" s="6"/>
      <c r="J111" s="7"/>
      <c r="K111" s="4"/>
      <c r="L111" s="4"/>
      <c r="M111" s="4"/>
      <c r="Q111" s="22"/>
      <c r="S111" s="23" t="n">
        <v>0</v>
      </c>
      <c r="T111" s="24" t="n">
        <f aca="false">H111*S111</f>
        <v>0</v>
      </c>
      <c r="U111" s="24" t="n">
        <f aca="false">T111-(T111*4.6%)</f>
        <v>0</v>
      </c>
      <c r="V111" s="5" t="n">
        <v>0</v>
      </c>
      <c r="W111" s="24" t="n">
        <f aca="false">I111-V111</f>
        <v>0</v>
      </c>
      <c r="X111" s="24" t="n">
        <f aca="false">W111-U111</f>
        <v>0</v>
      </c>
      <c r="Y111" s="23" t="n">
        <v>0</v>
      </c>
      <c r="Z111" s="24" t="n">
        <f aca="false">G111*Y111</f>
        <v>0</v>
      </c>
      <c r="AA111" s="23" t="n">
        <v>0</v>
      </c>
      <c r="AB111" s="24" t="n">
        <f aca="false">J111*AA111</f>
        <v>0</v>
      </c>
      <c r="AC111" s="24" t="n">
        <f aca="false">Z111+AB111</f>
        <v>0</v>
      </c>
      <c r="AD111" s="24" t="n">
        <f aca="false">AC111-(AC111*11.5%)</f>
        <v>0</v>
      </c>
      <c r="AE111" s="25" t="n">
        <v>0</v>
      </c>
      <c r="AF111" s="24" t="n">
        <f aca="false">I111+J111-AE111</f>
        <v>0</v>
      </c>
      <c r="AG111" s="24" t="n">
        <f aca="false">AF111-AD111</f>
        <v>0</v>
      </c>
      <c r="AH111" s="24" t="n">
        <f aca="false">J111+U111-AD111</f>
        <v>0</v>
      </c>
    </row>
    <row r="112" customFormat="false" ht="15" hidden="false" customHeight="false" outlineLevel="0" collapsed="false">
      <c r="A112" s="19"/>
      <c r="B112" s="20"/>
      <c r="C112" s="21"/>
      <c r="D112" s="4"/>
      <c r="F112" s="5"/>
      <c r="G112" s="5"/>
      <c r="H112" s="5"/>
      <c r="I112" s="6"/>
      <c r="J112" s="7"/>
      <c r="K112" s="4"/>
      <c r="L112" s="4"/>
      <c r="M112" s="4"/>
      <c r="Q112" s="22"/>
      <c r="S112" s="23" t="n">
        <v>0</v>
      </c>
      <c r="T112" s="24" t="n">
        <f aca="false">H112*S112</f>
        <v>0</v>
      </c>
      <c r="U112" s="24" t="n">
        <f aca="false">T112-(T112*4.6%)</f>
        <v>0</v>
      </c>
      <c r="V112" s="5" t="n">
        <v>0</v>
      </c>
      <c r="W112" s="24" t="n">
        <f aca="false">I112-V112</f>
        <v>0</v>
      </c>
      <c r="X112" s="24" t="n">
        <f aca="false">W112-U112</f>
        <v>0</v>
      </c>
      <c r="Y112" s="23" t="n">
        <v>0</v>
      </c>
      <c r="Z112" s="24" t="n">
        <f aca="false">G112*Y112</f>
        <v>0</v>
      </c>
      <c r="AA112" s="23" t="n">
        <v>0</v>
      </c>
      <c r="AB112" s="24" t="n">
        <f aca="false">J112*AA112</f>
        <v>0</v>
      </c>
      <c r="AC112" s="24" t="n">
        <f aca="false">Z112+AB112</f>
        <v>0</v>
      </c>
      <c r="AD112" s="24" t="n">
        <f aca="false">AC112-(AC112*11.5%)</f>
        <v>0</v>
      </c>
      <c r="AE112" s="25" t="n">
        <v>0</v>
      </c>
      <c r="AF112" s="24" t="n">
        <f aca="false">I112+J112-AE112</f>
        <v>0</v>
      </c>
      <c r="AG112" s="24" t="n">
        <f aca="false">AF112-AD112</f>
        <v>0</v>
      </c>
      <c r="AH112" s="24" t="n">
        <f aca="false">J112+U112-AD112</f>
        <v>0</v>
      </c>
    </row>
    <row r="113" customFormat="false" ht="15" hidden="false" customHeight="false" outlineLevel="0" collapsed="false">
      <c r="A113" s="19"/>
      <c r="B113" s="20"/>
      <c r="C113" s="21"/>
      <c r="D113" s="4"/>
      <c r="F113" s="5"/>
      <c r="G113" s="5"/>
      <c r="H113" s="5"/>
      <c r="I113" s="6"/>
      <c r="J113" s="7"/>
      <c r="K113" s="4"/>
      <c r="L113" s="4"/>
      <c r="M113" s="4"/>
      <c r="Q113" s="22"/>
      <c r="S113" s="23" t="n">
        <v>0</v>
      </c>
      <c r="T113" s="24" t="n">
        <f aca="false">H113*S113</f>
        <v>0</v>
      </c>
      <c r="U113" s="24" t="n">
        <f aca="false">T113-(T113*4.6%)</f>
        <v>0</v>
      </c>
      <c r="V113" s="5" t="n">
        <v>0</v>
      </c>
      <c r="W113" s="24" t="n">
        <f aca="false">I113-V113</f>
        <v>0</v>
      </c>
      <c r="X113" s="24" t="n">
        <f aca="false">W113-U113</f>
        <v>0</v>
      </c>
      <c r="Y113" s="23" t="n">
        <v>0</v>
      </c>
      <c r="Z113" s="24" t="n">
        <f aca="false">G113*Y113</f>
        <v>0</v>
      </c>
      <c r="AA113" s="23" t="n">
        <v>0</v>
      </c>
      <c r="AB113" s="24" t="n">
        <f aca="false">J113*AA113</f>
        <v>0</v>
      </c>
      <c r="AC113" s="24" t="n">
        <f aca="false">Z113+AB113</f>
        <v>0</v>
      </c>
      <c r="AD113" s="24" t="n">
        <f aca="false">AC113-(AC113*11.5%)</f>
        <v>0</v>
      </c>
      <c r="AE113" s="25" t="n">
        <v>0</v>
      </c>
      <c r="AF113" s="24" t="n">
        <f aca="false">I113+J113-AE113</f>
        <v>0</v>
      </c>
      <c r="AG113" s="24" t="n">
        <f aca="false">AF113-AD113</f>
        <v>0</v>
      </c>
      <c r="AH113" s="24" t="n">
        <f aca="false">J113+U113-AD113</f>
        <v>0</v>
      </c>
    </row>
    <row r="114" customFormat="false" ht="15" hidden="false" customHeight="false" outlineLevel="0" collapsed="false">
      <c r="A114" s="19"/>
      <c r="B114" s="20"/>
      <c r="C114" s="21"/>
      <c r="D114" s="4"/>
      <c r="F114" s="5"/>
      <c r="G114" s="5"/>
      <c r="H114" s="5"/>
      <c r="I114" s="6"/>
      <c r="J114" s="7"/>
      <c r="K114" s="4"/>
      <c r="L114" s="4"/>
      <c r="M114" s="4"/>
      <c r="Q114" s="22"/>
      <c r="S114" s="23" t="n">
        <v>0</v>
      </c>
      <c r="T114" s="24" t="n">
        <f aca="false">H114*S114</f>
        <v>0</v>
      </c>
      <c r="U114" s="24" t="n">
        <f aca="false">T114-(T114*4.6%)</f>
        <v>0</v>
      </c>
      <c r="V114" s="5" t="n">
        <v>0</v>
      </c>
      <c r="W114" s="24" t="n">
        <f aca="false">I114-V114</f>
        <v>0</v>
      </c>
      <c r="X114" s="24" t="n">
        <f aca="false">W114-U114</f>
        <v>0</v>
      </c>
      <c r="Y114" s="23" t="n">
        <v>0</v>
      </c>
      <c r="Z114" s="24" t="n">
        <f aca="false">G114*Y114</f>
        <v>0</v>
      </c>
      <c r="AA114" s="23" t="n">
        <v>0</v>
      </c>
      <c r="AB114" s="24" t="n">
        <f aca="false">J114*AA114</f>
        <v>0</v>
      </c>
      <c r="AC114" s="24" t="n">
        <f aca="false">Z114+AB114</f>
        <v>0</v>
      </c>
      <c r="AD114" s="24" t="n">
        <f aca="false">AC114-(AC114*11.5%)</f>
        <v>0</v>
      </c>
      <c r="AE114" s="25" t="n">
        <v>0</v>
      </c>
      <c r="AF114" s="24" t="n">
        <f aca="false">I114+J114-AE114</f>
        <v>0</v>
      </c>
      <c r="AG114" s="24" t="n">
        <f aca="false">AF114-AD114</f>
        <v>0</v>
      </c>
      <c r="AH114" s="24" t="n">
        <f aca="false">J114+U114-AD114</f>
        <v>0</v>
      </c>
    </row>
    <row r="115" customFormat="false" ht="15" hidden="false" customHeight="false" outlineLevel="0" collapsed="false">
      <c r="A115" s="19"/>
      <c r="B115" s="20"/>
      <c r="C115" s="21"/>
      <c r="D115" s="4"/>
      <c r="F115" s="5"/>
      <c r="G115" s="5"/>
      <c r="H115" s="5"/>
      <c r="I115" s="6"/>
      <c r="J115" s="7"/>
      <c r="K115" s="4"/>
      <c r="L115" s="4"/>
      <c r="M115" s="4"/>
      <c r="Q115" s="22"/>
      <c r="S115" s="23" t="n">
        <v>0</v>
      </c>
      <c r="T115" s="24" t="n">
        <f aca="false">H115*S115</f>
        <v>0</v>
      </c>
      <c r="U115" s="24" t="n">
        <f aca="false">T115-(T115*4.6%)</f>
        <v>0</v>
      </c>
      <c r="V115" s="5" t="n">
        <v>0</v>
      </c>
      <c r="W115" s="24" t="n">
        <f aca="false">I115-V115</f>
        <v>0</v>
      </c>
      <c r="X115" s="24" t="n">
        <f aca="false">W115-U115</f>
        <v>0</v>
      </c>
      <c r="Y115" s="23" t="n">
        <v>0</v>
      </c>
      <c r="Z115" s="24" t="n">
        <f aca="false">G115*Y115</f>
        <v>0</v>
      </c>
      <c r="AA115" s="23" t="n">
        <v>0</v>
      </c>
      <c r="AB115" s="24" t="n">
        <f aca="false">J115*AA115</f>
        <v>0</v>
      </c>
      <c r="AC115" s="24" t="n">
        <f aca="false">Z115+AB115</f>
        <v>0</v>
      </c>
      <c r="AD115" s="24" t="n">
        <f aca="false">AC115-(AC115*11.5%)</f>
        <v>0</v>
      </c>
      <c r="AE115" s="25" t="n">
        <v>0</v>
      </c>
      <c r="AF115" s="24" t="n">
        <f aca="false">I115+J115-AE115</f>
        <v>0</v>
      </c>
      <c r="AG115" s="24" t="n">
        <f aca="false">AF115-AD115</f>
        <v>0</v>
      </c>
      <c r="AH115" s="24" t="n">
        <f aca="false">J115+U115-AD115</f>
        <v>0</v>
      </c>
    </row>
    <row r="116" customFormat="false" ht="15" hidden="false" customHeight="false" outlineLevel="0" collapsed="false">
      <c r="A116" s="19"/>
      <c r="B116" s="20"/>
      <c r="C116" s="21"/>
      <c r="D116" s="4"/>
      <c r="F116" s="5"/>
      <c r="G116" s="5"/>
      <c r="H116" s="5"/>
      <c r="I116" s="6"/>
      <c r="J116" s="7"/>
      <c r="K116" s="4"/>
      <c r="L116" s="4"/>
      <c r="M116" s="4"/>
      <c r="Q116" s="22"/>
      <c r="S116" s="23" t="n">
        <v>0</v>
      </c>
      <c r="T116" s="24" t="n">
        <f aca="false">H116*S116</f>
        <v>0</v>
      </c>
      <c r="U116" s="24" t="n">
        <f aca="false">T116-(T116*4.6%)</f>
        <v>0</v>
      </c>
      <c r="V116" s="5" t="n">
        <v>0</v>
      </c>
      <c r="W116" s="24" t="n">
        <f aca="false">I116-V116</f>
        <v>0</v>
      </c>
      <c r="X116" s="24" t="n">
        <f aca="false">W116-U116</f>
        <v>0</v>
      </c>
      <c r="Y116" s="23" t="n">
        <v>0</v>
      </c>
      <c r="Z116" s="24" t="n">
        <f aca="false">G116*Y116</f>
        <v>0</v>
      </c>
      <c r="AA116" s="23" t="n">
        <v>0</v>
      </c>
      <c r="AB116" s="24" t="n">
        <f aca="false">J116*AA116</f>
        <v>0</v>
      </c>
      <c r="AC116" s="24" t="n">
        <f aca="false">Z116+AB116</f>
        <v>0</v>
      </c>
      <c r="AD116" s="24" t="n">
        <f aca="false">AC116-(AC116*11.5%)</f>
        <v>0</v>
      </c>
      <c r="AE116" s="25" t="n">
        <v>0</v>
      </c>
      <c r="AF116" s="24" t="n">
        <f aca="false">I116+J116-AE116</f>
        <v>0</v>
      </c>
      <c r="AG116" s="24" t="n">
        <f aca="false">AF116-AD116</f>
        <v>0</v>
      </c>
      <c r="AH116" s="24" t="n">
        <f aca="false">J116+U116-AD116</f>
        <v>0</v>
      </c>
    </row>
    <row r="117" customFormat="false" ht="15" hidden="false" customHeight="false" outlineLevel="0" collapsed="false">
      <c r="A117" s="19"/>
      <c r="B117" s="20"/>
      <c r="C117" s="21"/>
      <c r="D117" s="4"/>
      <c r="F117" s="5"/>
      <c r="G117" s="5"/>
      <c r="H117" s="5"/>
      <c r="I117" s="6"/>
      <c r="J117" s="7"/>
      <c r="K117" s="4"/>
      <c r="L117" s="4"/>
      <c r="M117" s="4"/>
      <c r="Q117" s="22"/>
      <c r="S117" s="23" t="n">
        <v>0</v>
      </c>
      <c r="T117" s="24" t="n">
        <f aca="false">H117*S117</f>
        <v>0</v>
      </c>
      <c r="U117" s="24" t="n">
        <f aca="false">T117-(T117*4.6%)</f>
        <v>0</v>
      </c>
      <c r="V117" s="5" t="n">
        <v>0</v>
      </c>
      <c r="W117" s="24" t="n">
        <f aca="false">I117-V117</f>
        <v>0</v>
      </c>
      <c r="X117" s="24" t="n">
        <f aca="false">W117-U117</f>
        <v>0</v>
      </c>
      <c r="Y117" s="23" t="n">
        <v>0</v>
      </c>
      <c r="Z117" s="24" t="n">
        <f aca="false">G117*Y117</f>
        <v>0</v>
      </c>
      <c r="AA117" s="23" t="n">
        <v>0</v>
      </c>
      <c r="AB117" s="24" t="n">
        <f aca="false">J117*AA117</f>
        <v>0</v>
      </c>
      <c r="AC117" s="24" t="n">
        <f aca="false">Z117+AB117</f>
        <v>0</v>
      </c>
      <c r="AD117" s="24" t="n">
        <f aca="false">AC117-(AC117*11.5%)</f>
        <v>0</v>
      </c>
      <c r="AE117" s="25" t="n">
        <v>0</v>
      </c>
      <c r="AF117" s="24" t="n">
        <f aca="false">I117+J117-AE117</f>
        <v>0</v>
      </c>
      <c r="AG117" s="24" t="n">
        <f aca="false">AF117-AD117</f>
        <v>0</v>
      </c>
      <c r="AH117" s="24" t="n">
        <f aca="false">J117+U117-AD117</f>
        <v>0</v>
      </c>
    </row>
    <row r="118" customFormat="false" ht="15" hidden="false" customHeight="false" outlineLevel="0" collapsed="false">
      <c r="A118" s="19"/>
      <c r="B118" s="20"/>
      <c r="C118" s="21"/>
      <c r="D118" s="4"/>
      <c r="F118" s="5"/>
      <c r="G118" s="5"/>
      <c r="H118" s="5"/>
      <c r="I118" s="6"/>
      <c r="J118" s="7"/>
      <c r="K118" s="4"/>
      <c r="L118" s="4"/>
      <c r="M118" s="4"/>
      <c r="Q118" s="22"/>
      <c r="S118" s="23" t="n">
        <v>0</v>
      </c>
      <c r="T118" s="24" t="n">
        <f aca="false">H118*S118</f>
        <v>0</v>
      </c>
      <c r="U118" s="24" t="n">
        <f aca="false">T118-(T118*4.6%)</f>
        <v>0</v>
      </c>
      <c r="V118" s="5" t="n">
        <v>0</v>
      </c>
      <c r="W118" s="24" t="n">
        <f aca="false">I118-V118</f>
        <v>0</v>
      </c>
      <c r="X118" s="24" t="n">
        <f aca="false">W118-U118</f>
        <v>0</v>
      </c>
      <c r="Y118" s="23" t="n">
        <v>0</v>
      </c>
      <c r="Z118" s="24" t="n">
        <f aca="false">G118*Y118</f>
        <v>0</v>
      </c>
      <c r="AA118" s="23" t="n">
        <v>0</v>
      </c>
      <c r="AB118" s="24" t="n">
        <f aca="false">J118*AA118</f>
        <v>0</v>
      </c>
      <c r="AC118" s="24" t="n">
        <f aca="false">Z118+AB118</f>
        <v>0</v>
      </c>
      <c r="AD118" s="24" t="n">
        <f aca="false">AC118-(AC118*11.5%)</f>
        <v>0</v>
      </c>
      <c r="AE118" s="25" t="n">
        <v>0</v>
      </c>
      <c r="AF118" s="24" t="n">
        <f aca="false">I118+J118-AE118</f>
        <v>0</v>
      </c>
      <c r="AG118" s="24" t="n">
        <f aca="false">AF118-AD118</f>
        <v>0</v>
      </c>
      <c r="AH118" s="24" t="n">
        <f aca="false">J118+U118-AD118</f>
        <v>0</v>
      </c>
    </row>
    <row r="119" customFormat="false" ht="15" hidden="false" customHeight="false" outlineLevel="0" collapsed="false">
      <c r="A119" s="19"/>
      <c r="B119" s="20"/>
      <c r="C119" s="21"/>
      <c r="D119" s="4"/>
      <c r="F119" s="5"/>
      <c r="G119" s="5"/>
      <c r="H119" s="5"/>
      <c r="I119" s="6"/>
      <c r="J119" s="7"/>
      <c r="K119" s="4"/>
      <c r="L119" s="4"/>
      <c r="M119" s="4"/>
      <c r="Q119" s="22"/>
      <c r="S119" s="23" t="n">
        <v>0</v>
      </c>
      <c r="T119" s="24" t="n">
        <f aca="false">H119*S119</f>
        <v>0</v>
      </c>
      <c r="U119" s="24" t="n">
        <f aca="false">T119-(T119*4.6%)</f>
        <v>0</v>
      </c>
      <c r="V119" s="5" t="n">
        <v>0</v>
      </c>
      <c r="W119" s="24" t="n">
        <f aca="false">I119-V119</f>
        <v>0</v>
      </c>
      <c r="X119" s="24" t="n">
        <f aca="false">W119-U119</f>
        <v>0</v>
      </c>
      <c r="Y119" s="23" t="n">
        <v>0</v>
      </c>
      <c r="Z119" s="24" t="n">
        <f aca="false">G119*Y119</f>
        <v>0</v>
      </c>
      <c r="AA119" s="23" t="n">
        <v>0</v>
      </c>
      <c r="AB119" s="24" t="n">
        <f aca="false">J119*AA119</f>
        <v>0</v>
      </c>
      <c r="AC119" s="24" t="n">
        <f aca="false">Z119+AB119</f>
        <v>0</v>
      </c>
      <c r="AD119" s="24" t="n">
        <f aca="false">AC119-(AC119*11.5%)</f>
        <v>0</v>
      </c>
      <c r="AE119" s="25" t="n">
        <v>0</v>
      </c>
      <c r="AF119" s="24" t="n">
        <f aca="false">I119+J119-AE119</f>
        <v>0</v>
      </c>
      <c r="AG119" s="24" t="n">
        <f aca="false">AF119-AD119</f>
        <v>0</v>
      </c>
      <c r="AH119" s="24" t="n">
        <f aca="false">J119+U119-AD119</f>
        <v>0</v>
      </c>
    </row>
    <row r="120" customFormat="false" ht="15" hidden="false" customHeight="false" outlineLevel="0" collapsed="false">
      <c r="A120" s="19"/>
      <c r="B120" s="20"/>
      <c r="C120" s="21"/>
      <c r="D120" s="4"/>
      <c r="F120" s="5"/>
      <c r="G120" s="5"/>
      <c r="H120" s="5"/>
      <c r="I120" s="6"/>
      <c r="J120" s="7"/>
      <c r="K120" s="4"/>
      <c r="L120" s="4"/>
      <c r="M120" s="4"/>
      <c r="Q120" s="22"/>
      <c r="S120" s="23" t="n">
        <v>0</v>
      </c>
      <c r="T120" s="24" t="n">
        <f aca="false">H120*S120</f>
        <v>0</v>
      </c>
      <c r="U120" s="24" t="n">
        <f aca="false">T120-(T120*4.6%)</f>
        <v>0</v>
      </c>
      <c r="V120" s="5" t="n">
        <v>0</v>
      </c>
      <c r="W120" s="24" t="n">
        <f aca="false">I120-V120</f>
        <v>0</v>
      </c>
      <c r="X120" s="24" t="n">
        <f aca="false">W120-U120</f>
        <v>0</v>
      </c>
      <c r="Y120" s="23" t="n">
        <v>0</v>
      </c>
      <c r="Z120" s="24" t="n">
        <f aca="false">G120*Y120</f>
        <v>0</v>
      </c>
      <c r="AA120" s="23" t="n">
        <v>0</v>
      </c>
      <c r="AB120" s="24" t="n">
        <f aca="false">J120*AA120</f>
        <v>0</v>
      </c>
      <c r="AC120" s="24" t="n">
        <f aca="false">Z120+AB120</f>
        <v>0</v>
      </c>
      <c r="AD120" s="24" t="n">
        <f aca="false">AC120-(AC120*11.5%)</f>
        <v>0</v>
      </c>
      <c r="AE120" s="25" t="n">
        <v>0</v>
      </c>
      <c r="AF120" s="24" t="n">
        <f aca="false">I120+J120-AE120</f>
        <v>0</v>
      </c>
      <c r="AG120" s="24" t="n">
        <f aca="false">AF120-AD120</f>
        <v>0</v>
      </c>
      <c r="AH120" s="24" t="n">
        <f aca="false">J120+U120-AD120</f>
        <v>0</v>
      </c>
    </row>
    <row r="121" customFormat="false" ht="15" hidden="false" customHeight="false" outlineLevel="0" collapsed="false">
      <c r="A121" s="19"/>
      <c r="B121" s="20"/>
      <c r="C121" s="21"/>
      <c r="D121" s="4"/>
      <c r="F121" s="5"/>
      <c r="G121" s="5"/>
      <c r="H121" s="5"/>
      <c r="I121" s="6"/>
      <c r="J121" s="7"/>
      <c r="K121" s="4"/>
      <c r="L121" s="4"/>
      <c r="M121" s="4"/>
      <c r="Q121" s="22"/>
      <c r="S121" s="23" t="n">
        <v>0</v>
      </c>
      <c r="T121" s="24" t="n">
        <f aca="false">H121*S121</f>
        <v>0</v>
      </c>
      <c r="U121" s="24" t="n">
        <f aca="false">T121-(T121*4.6%)</f>
        <v>0</v>
      </c>
      <c r="V121" s="5" t="n">
        <v>0</v>
      </c>
      <c r="W121" s="24" t="n">
        <f aca="false">I121-V121</f>
        <v>0</v>
      </c>
      <c r="X121" s="24" t="n">
        <f aca="false">W121-U121</f>
        <v>0</v>
      </c>
      <c r="Y121" s="23" t="n">
        <v>0</v>
      </c>
      <c r="Z121" s="24" t="n">
        <f aca="false">G121*Y121</f>
        <v>0</v>
      </c>
      <c r="AA121" s="23" t="n">
        <v>0</v>
      </c>
      <c r="AB121" s="24" t="n">
        <f aca="false">J121*AA121</f>
        <v>0</v>
      </c>
      <c r="AC121" s="24" t="n">
        <f aca="false">Z121+AB121</f>
        <v>0</v>
      </c>
      <c r="AD121" s="24" t="n">
        <f aca="false">AC121-(AC121*11.5%)</f>
        <v>0</v>
      </c>
      <c r="AE121" s="25" t="n">
        <v>0</v>
      </c>
      <c r="AF121" s="24" t="n">
        <f aca="false">I121+J121-AE121</f>
        <v>0</v>
      </c>
      <c r="AG121" s="24" t="n">
        <f aca="false">AF121-AD121</f>
        <v>0</v>
      </c>
      <c r="AH121" s="24" t="n">
        <f aca="false">J121+U121-AD121</f>
        <v>0</v>
      </c>
    </row>
    <row r="122" customFormat="false" ht="15" hidden="false" customHeight="false" outlineLevel="0" collapsed="false">
      <c r="A122" s="19"/>
      <c r="B122" s="20"/>
      <c r="C122" s="21"/>
      <c r="D122" s="4"/>
      <c r="F122" s="5"/>
      <c r="G122" s="5"/>
      <c r="H122" s="5"/>
      <c r="I122" s="6"/>
      <c r="J122" s="7"/>
      <c r="K122" s="4"/>
      <c r="L122" s="4"/>
      <c r="M122" s="4"/>
      <c r="Q122" s="22"/>
      <c r="S122" s="23" t="n">
        <v>0</v>
      </c>
      <c r="T122" s="24" t="n">
        <f aca="false">H122*S122</f>
        <v>0</v>
      </c>
      <c r="U122" s="24" t="n">
        <f aca="false">T122-(T122*4.6%)</f>
        <v>0</v>
      </c>
      <c r="V122" s="5" t="n">
        <v>0</v>
      </c>
      <c r="W122" s="24" t="n">
        <f aca="false">I122-V122</f>
        <v>0</v>
      </c>
      <c r="X122" s="24" t="n">
        <f aca="false">W122-U122</f>
        <v>0</v>
      </c>
      <c r="Y122" s="23" t="n">
        <v>0</v>
      </c>
      <c r="Z122" s="24" t="n">
        <f aca="false">G122*Y122</f>
        <v>0</v>
      </c>
      <c r="AA122" s="23" t="n">
        <v>0</v>
      </c>
      <c r="AB122" s="24" t="n">
        <f aca="false">J122*AA122</f>
        <v>0</v>
      </c>
      <c r="AC122" s="24" t="n">
        <f aca="false">Z122+AB122</f>
        <v>0</v>
      </c>
      <c r="AD122" s="24" t="n">
        <f aca="false">AC122-(AC122*11.5%)</f>
        <v>0</v>
      </c>
      <c r="AE122" s="25" t="n">
        <v>0</v>
      </c>
      <c r="AF122" s="24" t="n">
        <f aca="false">I122+J122-AE122</f>
        <v>0</v>
      </c>
      <c r="AG122" s="24" t="n">
        <f aca="false">AF122-AD122</f>
        <v>0</v>
      </c>
      <c r="AH122" s="24" t="n">
        <f aca="false">J122+U122-AD122</f>
        <v>0</v>
      </c>
    </row>
    <row r="123" customFormat="false" ht="15" hidden="false" customHeight="false" outlineLevel="0" collapsed="false">
      <c r="A123" s="19"/>
      <c r="B123" s="20"/>
      <c r="C123" s="21"/>
      <c r="D123" s="4"/>
      <c r="F123" s="5"/>
      <c r="G123" s="5"/>
      <c r="H123" s="5"/>
      <c r="I123" s="6"/>
      <c r="J123" s="7"/>
      <c r="K123" s="4"/>
      <c r="L123" s="4"/>
      <c r="M123" s="4"/>
      <c r="Q123" s="22"/>
      <c r="S123" s="23" t="n">
        <v>0</v>
      </c>
      <c r="T123" s="24" t="n">
        <f aca="false">H123*S123</f>
        <v>0</v>
      </c>
      <c r="U123" s="24" t="n">
        <f aca="false">T123-(T123*4.6%)</f>
        <v>0</v>
      </c>
      <c r="V123" s="5" t="n">
        <v>0</v>
      </c>
      <c r="W123" s="24" t="n">
        <f aca="false">I123-V123</f>
        <v>0</v>
      </c>
      <c r="X123" s="24" t="n">
        <f aca="false">W123-U123</f>
        <v>0</v>
      </c>
      <c r="Y123" s="23" t="n">
        <v>0</v>
      </c>
      <c r="Z123" s="24" t="n">
        <f aca="false">G123*Y123</f>
        <v>0</v>
      </c>
      <c r="AA123" s="23" t="n">
        <v>0</v>
      </c>
      <c r="AB123" s="24" t="n">
        <f aca="false">J123*AA123</f>
        <v>0</v>
      </c>
      <c r="AC123" s="24" t="n">
        <f aca="false">Z123+AB123</f>
        <v>0</v>
      </c>
      <c r="AD123" s="24" t="n">
        <f aca="false">AC123-(AC123*11.5%)</f>
        <v>0</v>
      </c>
      <c r="AE123" s="25" t="n">
        <v>0</v>
      </c>
      <c r="AF123" s="24" t="n">
        <f aca="false">I123+J123-AE123</f>
        <v>0</v>
      </c>
      <c r="AG123" s="24" t="n">
        <f aca="false">AF123-AD123</f>
        <v>0</v>
      </c>
      <c r="AH123" s="24" t="n">
        <f aca="false">J123+U123-AD123</f>
        <v>0</v>
      </c>
    </row>
    <row r="124" customFormat="false" ht="15" hidden="false" customHeight="false" outlineLevel="0" collapsed="false">
      <c r="A124" s="19"/>
      <c r="B124" s="20"/>
      <c r="C124" s="21"/>
      <c r="D124" s="4"/>
      <c r="F124" s="5"/>
      <c r="G124" s="5"/>
      <c r="H124" s="5"/>
      <c r="I124" s="6"/>
      <c r="J124" s="7"/>
      <c r="K124" s="4"/>
      <c r="L124" s="4"/>
      <c r="M124" s="4"/>
      <c r="Q124" s="22"/>
      <c r="S124" s="23" t="n">
        <v>0</v>
      </c>
      <c r="T124" s="24" t="n">
        <f aca="false">H124*S124</f>
        <v>0</v>
      </c>
      <c r="U124" s="24" t="n">
        <f aca="false">T124-(T124*4.6%)</f>
        <v>0</v>
      </c>
      <c r="V124" s="5" t="n">
        <v>0</v>
      </c>
      <c r="W124" s="24" t="n">
        <f aca="false">I124-V124</f>
        <v>0</v>
      </c>
      <c r="X124" s="24" t="n">
        <f aca="false">W124-U124</f>
        <v>0</v>
      </c>
      <c r="Y124" s="23" t="n">
        <v>0</v>
      </c>
      <c r="Z124" s="24" t="n">
        <f aca="false">G124*Y124</f>
        <v>0</v>
      </c>
      <c r="AA124" s="23" t="n">
        <v>0</v>
      </c>
      <c r="AB124" s="24" t="n">
        <f aca="false">J124*AA124</f>
        <v>0</v>
      </c>
      <c r="AC124" s="24" t="n">
        <f aca="false">Z124+AB124</f>
        <v>0</v>
      </c>
      <c r="AD124" s="24" t="n">
        <f aca="false">AC124-(AC124*11.5%)</f>
        <v>0</v>
      </c>
      <c r="AE124" s="25" t="n">
        <v>0</v>
      </c>
      <c r="AF124" s="24" t="n">
        <f aca="false">I124+J124-AE124</f>
        <v>0</v>
      </c>
      <c r="AG124" s="24" t="n">
        <f aca="false">AF124-AD124</f>
        <v>0</v>
      </c>
      <c r="AH124" s="24" t="n">
        <f aca="false">J124+U124-AD124</f>
        <v>0</v>
      </c>
    </row>
    <row r="125" customFormat="false" ht="15" hidden="false" customHeight="false" outlineLevel="0" collapsed="false">
      <c r="A125" s="19"/>
      <c r="B125" s="20"/>
      <c r="C125" s="21"/>
      <c r="D125" s="4"/>
      <c r="F125" s="5"/>
      <c r="G125" s="5"/>
      <c r="H125" s="5"/>
      <c r="I125" s="6"/>
      <c r="J125" s="7"/>
      <c r="K125" s="4"/>
      <c r="L125" s="4"/>
      <c r="M125" s="4"/>
      <c r="Q125" s="22"/>
      <c r="S125" s="23" t="n">
        <v>0</v>
      </c>
      <c r="T125" s="24" t="n">
        <f aca="false">H125*S125</f>
        <v>0</v>
      </c>
      <c r="U125" s="24" t="n">
        <f aca="false">T125-(T125*4.6%)</f>
        <v>0</v>
      </c>
      <c r="V125" s="5" t="n">
        <v>0</v>
      </c>
      <c r="W125" s="24" t="n">
        <f aca="false">I125-V125</f>
        <v>0</v>
      </c>
      <c r="X125" s="24" t="n">
        <f aca="false">W125-U125</f>
        <v>0</v>
      </c>
      <c r="Y125" s="23" t="n">
        <v>0</v>
      </c>
      <c r="Z125" s="24" t="n">
        <f aca="false">G125*Y125</f>
        <v>0</v>
      </c>
      <c r="AA125" s="23" t="n">
        <v>0</v>
      </c>
      <c r="AB125" s="24" t="n">
        <f aca="false">J125*AA125</f>
        <v>0</v>
      </c>
      <c r="AC125" s="24" t="n">
        <f aca="false">Z125+AB125</f>
        <v>0</v>
      </c>
      <c r="AD125" s="24" t="n">
        <f aca="false">AC125-(AC125*11.5%)</f>
        <v>0</v>
      </c>
      <c r="AE125" s="25" t="n">
        <v>0</v>
      </c>
      <c r="AF125" s="24" t="n">
        <f aca="false">I125+J125-AE125</f>
        <v>0</v>
      </c>
      <c r="AG125" s="24" t="n">
        <f aca="false">AF125-AD125</f>
        <v>0</v>
      </c>
      <c r="AH125" s="24" t="n">
        <f aca="false">J125+U125-AD125</f>
        <v>0</v>
      </c>
    </row>
    <row r="126" customFormat="false" ht="15" hidden="false" customHeight="false" outlineLevel="0" collapsed="false">
      <c r="A126" s="19"/>
      <c r="B126" s="20"/>
      <c r="C126" s="21"/>
      <c r="D126" s="4"/>
      <c r="F126" s="5"/>
      <c r="G126" s="5"/>
      <c r="H126" s="5"/>
      <c r="I126" s="6"/>
      <c r="J126" s="7"/>
      <c r="K126" s="4"/>
      <c r="L126" s="4"/>
      <c r="M126" s="4"/>
      <c r="Q126" s="22"/>
      <c r="S126" s="23" t="n">
        <v>0</v>
      </c>
      <c r="T126" s="24" t="n">
        <f aca="false">H126*S126</f>
        <v>0</v>
      </c>
      <c r="U126" s="24" t="n">
        <f aca="false">T126-(T126*4.6%)</f>
        <v>0</v>
      </c>
      <c r="V126" s="5" t="n">
        <v>0</v>
      </c>
      <c r="W126" s="24" t="n">
        <f aca="false">I126-V126</f>
        <v>0</v>
      </c>
      <c r="X126" s="24" t="n">
        <f aca="false">W126-U126</f>
        <v>0</v>
      </c>
      <c r="Y126" s="23" t="n">
        <v>0</v>
      </c>
      <c r="Z126" s="24" t="n">
        <f aca="false">G126*Y126</f>
        <v>0</v>
      </c>
      <c r="AA126" s="23" t="n">
        <v>0</v>
      </c>
      <c r="AB126" s="24" t="n">
        <f aca="false">J126*AA126</f>
        <v>0</v>
      </c>
      <c r="AC126" s="24" t="n">
        <f aca="false">Z126+AB126</f>
        <v>0</v>
      </c>
      <c r="AD126" s="24" t="n">
        <f aca="false">AC126-(AC126*11.5%)</f>
        <v>0</v>
      </c>
      <c r="AE126" s="25" t="n">
        <v>0</v>
      </c>
      <c r="AF126" s="24" t="n">
        <f aca="false">I126+J126-AE126</f>
        <v>0</v>
      </c>
      <c r="AG126" s="24" t="n">
        <f aca="false">AF126-AD126</f>
        <v>0</v>
      </c>
      <c r="AH126" s="24" t="n">
        <f aca="false">J126+U126-AD126</f>
        <v>0</v>
      </c>
    </row>
    <row r="127" customFormat="false" ht="15" hidden="false" customHeight="false" outlineLevel="0" collapsed="false">
      <c r="A127" s="19"/>
      <c r="B127" s="20"/>
      <c r="C127" s="21"/>
      <c r="D127" s="4"/>
      <c r="F127" s="5"/>
      <c r="G127" s="5"/>
      <c r="H127" s="5"/>
      <c r="I127" s="6"/>
      <c r="J127" s="7"/>
      <c r="K127" s="4"/>
      <c r="L127" s="4"/>
      <c r="M127" s="4"/>
      <c r="Q127" s="22"/>
      <c r="S127" s="23" t="n">
        <v>0</v>
      </c>
      <c r="T127" s="24" t="n">
        <f aca="false">H127*S127</f>
        <v>0</v>
      </c>
      <c r="U127" s="24" t="n">
        <f aca="false">T127-(T127*4.6%)</f>
        <v>0</v>
      </c>
      <c r="V127" s="5" t="n">
        <v>0</v>
      </c>
      <c r="W127" s="24" t="n">
        <f aca="false">I127-V127</f>
        <v>0</v>
      </c>
      <c r="X127" s="24" t="n">
        <f aca="false">W127-U127</f>
        <v>0</v>
      </c>
      <c r="Y127" s="23" t="n">
        <v>0</v>
      </c>
      <c r="Z127" s="24" t="n">
        <f aca="false">G127*Y127</f>
        <v>0</v>
      </c>
      <c r="AA127" s="23" t="n">
        <v>0</v>
      </c>
      <c r="AB127" s="24" t="n">
        <f aca="false">J127*AA127</f>
        <v>0</v>
      </c>
      <c r="AC127" s="24" t="n">
        <f aca="false">Z127+AB127</f>
        <v>0</v>
      </c>
      <c r="AD127" s="24" t="n">
        <f aca="false">AC127-(AC127*11.5%)</f>
        <v>0</v>
      </c>
      <c r="AE127" s="25" t="n">
        <v>0</v>
      </c>
      <c r="AF127" s="24" t="n">
        <f aca="false">I127+J127-AE127</f>
        <v>0</v>
      </c>
      <c r="AG127" s="24" t="n">
        <f aca="false">AF127-AD127</f>
        <v>0</v>
      </c>
      <c r="AH127" s="24" t="n">
        <f aca="false">J127+U127-AD127</f>
        <v>0</v>
      </c>
    </row>
    <row r="128" customFormat="false" ht="15" hidden="false" customHeight="false" outlineLevel="0" collapsed="false">
      <c r="A128" s="19"/>
      <c r="B128" s="20"/>
      <c r="C128" s="21"/>
      <c r="D128" s="4"/>
      <c r="F128" s="5"/>
      <c r="G128" s="5"/>
      <c r="H128" s="5"/>
      <c r="I128" s="6"/>
      <c r="J128" s="7"/>
      <c r="K128" s="4"/>
      <c r="L128" s="4"/>
      <c r="M128" s="4"/>
      <c r="Q128" s="22"/>
      <c r="S128" s="23" t="n">
        <v>0</v>
      </c>
      <c r="T128" s="24" t="n">
        <f aca="false">H128*S128</f>
        <v>0</v>
      </c>
      <c r="U128" s="24" t="n">
        <f aca="false">T128-(T128*4.6%)</f>
        <v>0</v>
      </c>
      <c r="V128" s="5" t="n">
        <v>0</v>
      </c>
      <c r="W128" s="24" t="n">
        <f aca="false">I128-V128</f>
        <v>0</v>
      </c>
      <c r="X128" s="24" t="n">
        <f aca="false">W128-U128</f>
        <v>0</v>
      </c>
      <c r="Y128" s="23" t="n">
        <v>0</v>
      </c>
      <c r="Z128" s="24" t="n">
        <f aca="false">G128*Y128</f>
        <v>0</v>
      </c>
      <c r="AA128" s="23" t="n">
        <v>0</v>
      </c>
      <c r="AB128" s="24" t="n">
        <f aca="false">J128*AA128</f>
        <v>0</v>
      </c>
      <c r="AC128" s="24" t="n">
        <f aca="false">Z128+AB128</f>
        <v>0</v>
      </c>
      <c r="AD128" s="24" t="n">
        <f aca="false">AC128-(AC128*11.5%)</f>
        <v>0</v>
      </c>
      <c r="AE128" s="25" t="n">
        <v>0</v>
      </c>
      <c r="AF128" s="24" t="n">
        <f aca="false">I128+J128-AE128</f>
        <v>0</v>
      </c>
      <c r="AG128" s="24" t="n">
        <f aca="false">AF128-AD128</f>
        <v>0</v>
      </c>
      <c r="AH128" s="24" t="n">
        <f aca="false">J128+U128-AD128</f>
        <v>0</v>
      </c>
    </row>
    <row r="129" customFormat="false" ht="15" hidden="false" customHeight="false" outlineLevel="0" collapsed="false">
      <c r="A129" s="19"/>
      <c r="B129" s="20"/>
      <c r="C129" s="21"/>
      <c r="D129" s="4"/>
      <c r="F129" s="5"/>
      <c r="G129" s="5"/>
      <c r="H129" s="5"/>
      <c r="I129" s="6"/>
      <c r="J129" s="7"/>
      <c r="K129" s="4"/>
      <c r="L129" s="4"/>
      <c r="M129" s="4"/>
      <c r="Q129" s="22"/>
      <c r="S129" s="23" t="n">
        <v>0</v>
      </c>
      <c r="T129" s="24" t="n">
        <f aca="false">H129*S129</f>
        <v>0</v>
      </c>
      <c r="U129" s="24" t="n">
        <f aca="false">T129-(T129*4.6%)</f>
        <v>0</v>
      </c>
      <c r="V129" s="5" t="n">
        <v>0</v>
      </c>
      <c r="W129" s="24" t="n">
        <f aca="false">I129-V129</f>
        <v>0</v>
      </c>
      <c r="X129" s="24" t="n">
        <f aca="false">W129-U129</f>
        <v>0</v>
      </c>
      <c r="Y129" s="23" t="n">
        <v>0</v>
      </c>
      <c r="Z129" s="24" t="n">
        <f aca="false">G129*Y129</f>
        <v>0</v>
      </c>
      <c r="AA129" s="23" t="n">
        <v>0</v>
      </c>
      <c r="AB129" s="24" t="n">
        <f aca="false">J129*AA129</f>
        <v>0</v>
      </c>
      <c r="AC129" s="24" t="n">
        <f aca="false">Z129+AB129</f>
        <v>0</v>
      </c>
      <c r="AD129" s="24" t="n">
        <f aca="false">AC129-(AC129*11.5%)</f>
        <v>0</v>
      </c>
      <c r="AE129" s="25" t="n">
        <v>0</v>
      </c>
      <c r="AF129" s="24" t="n">
        <f aca="false">I129+J129-AE129</f>
        <v>0</v>
      </c>
      <c r="AG129" s="24" t="n">
        <f aca="false">AF129-AD129</f>
        <v>0</v>
      </c>
      <c r="AH129" s="24" t="n">
        <f aca="false">J129+U129-AD129</f>
        <v>0</v>
      </c>
    </row>
    <row r="130" customFormat="false" ht="15" hidden="false" customHeight="false" outlineLevel="0" collapsed="false">
      <c r="A130" s="19"/>
      <c r="B130" s="20"/>
      <c r="C130" s="21"/>
      <c r="D130" s="4"/>
      <c r="F130" s="5"/>
      <c r="G130" s="5"/>
      <c r="H130" s="5"/>
      <c r="I130" s="6"/>
      <c r="J130" s="7"/>
      <c r="K130" s="4"/>
      <c r="L130" s="4"/>
      <c r="M130" s="4"/>
      <c r="Q130" s="22"/>
      <c r="S130" s="23" t="n">
        <v>0</v>
      </c>
      <c r="T130" s="24" t="n">
        <f aca="false">H130*S130</f>
        <v>0</v>
      </c>
      <c r="U130" s="24" t="n">
        <f aca="false">T130-(T130*4.6%)</f>
        <v>0</v>
      </c>
      <c r="V130" s="5" t="n">
        <v>0</v>
      </c>
      <c r="W130" s="24" t="n">
        <f aca="false">I130-V130</f>
        <v>0</v>
      </c>
      <c r="X130" s="24" t="n">
        <f aca="false">W130-U130</f>
        <v>0</v>
      </c>
      <c r="Y130" s="23" t="n">
        <v>0</v>
      </c>
      <c r="Z130" s="24" t="n">
        <f aca="false">G130*Y130</f>
        <v>0</v>
      </c>
      <c r="AA130" s="23" t="n">
        <v>0</v>
      </c>
      <c r="AB130" s="24" t="n">
        <f aca="false">J130*AA130</f>
        <v>0</v>
      </c>
      <c r="AC130" s="24" t="n">
        <f aca="false">Z130+AB130</f>
        <v>0</v>
      </c>
      <c r="AD130" s="24" t="n">
        <f aca="false">AC130-(AC130*11.5%)</f>
        <v>0</v>
      </c>
      <c r="AE130" s="25" t="n">
        <v>0</v>
      </c>
      <c r="AF130" s="24" t="n">
        <f aca="false">I130+J130-AE130</f>
        <v>0</v>
      </c>
      <c r="AG130" s="24" t="n">
        <f aca="false">AF130-AD130</f>
        <v>0</v>
      </c>
      <c r="AH130" s="24" t="n">
        <f aca="false">J130+U130-AD130</f>
        <v>0</v>
      </c>
    </row>
    <row r="131" customFormat="false" ht="15" hidden="false" customHeight="false" outlineLevel="0" collapsed="false">
      <c r="A131" s="19"/>
      <c r="B131" s="20"/>
      <c r="C131" s="21"/>
      <c r="D131" s="4"/>
      <c r="F131" s="5"/>
      <c r="G131" s="5"/>
      <c r="H131" s="5"/>
      <c r="I131" s="6"/>
      <c r="J131" s="7"/>
      <c r="K131" s="4"/>
      <c r="L131" s="4"/>
      <c r="M131" s="4"/>
      <c r="Q131" s="22"/>
      <c r="S131" s="23" t="n">
        <v>0</v>
      </c>
      <c r="T131" s="24" t="n">
        <f aca="false">H131*S131</f>
        <v>0</v>
      </c>
      <c r="U131" s="24" t="n">
        <f aca="false">T131-(T131*4.6%)</f>
        <v>0</v>
      </c>
      <c r="V131" s="5" t="n">
        <v>0</v>
      </c>
      <c r="W131" s="24" t="n">
        <f aca="false">I131-V131</f>
        <v>0</v>
      </c>
      <c r="X131" s="24" t="n">
        <f aca="false">W131-U131</f>
        <v>0</v>
      </c>
      <c r="Y131" s="23" t="n">
        <v>0</v>
      </c>
      <c r="Z131" s="24" t="n">
        <f aca="false">G131*Y131</f>
        <v>0</v>
      </c>
      <c r="AA131" s="23" t="n">
        <v>0</v>
      </c>
      <c r="AB131" s="24" t="n">
        <f aca="false">J131*AA131</f>
        <v>0</v>
      </c>
      <c r="AC131" s="24" t="n">
        <f aca="false">Z131+AB131</f>
        <v>0</v>
      </c>
      <c r="AD131" s="24" t="n">
        <f aca="false">AC131-(AC131*11.5%)</f>
        <v>0</v>
      </c>
      <c r="AE131" s="25" t="n">
        <v>0</v>
      </c>
      <c r="AF131" s="24" t="n">
        <f aca="false">I131+J131-AE131</f>
        <v>0</v>
      </c>
      <c r="AG131" s="24" t="n">
        <f aca="false">AF131-AD131</f>
        <v>0</v>
      </c>
      <c r="AH131" s="24" t="n">
        <f aca="false">J131+U131-AD131</f>
        <v>0</v>
      </c>
    </row>
    <row r="132" customFormat="false" ht="15" hidden="false" customHeight="false" outlineLevel="0" collapsed="false">
      <c r="A132" s="19"/>
      <c r="B132" s="20"/>
      <c r="C132" s="21"/>
      <c r="D132" s="4"/>
      <c r="F132" s="5"/>
      <c r="G132" s="5"/>
      <c r="H132" s="5"/>
      <c r="I132" s="6"/>
      <c r="J132" s="7"/>
      <c r="K132" s="4"/>
      <c r="L132" s="4"/>
      <c r="M132" s="4"/>
      <c r="Q132" s="22"/>
      <c r="S132" s="23" t="n">
        <v>0</v>
      </c>
      <c r="T132" s="24" t="n">
        <f aca="false">H132*S132</f>
        <v>0</v>
      </c>
      <c r="U132" s="24" t="n">
        <f aca="false">T132-(T132*4.6%)</f>
        <v>0</v>
      </c>
      <c r="V132" s="5" t="n">
        <v>0</v>
      </c>
      <c r="W132" s="24" t="n">
        <f aca="false">I132-V132</f>
        <v>0</v>
      </c>
      <c r="X132" s="24" t="n">
        <f aca="false">W132-U132</f>
        <v>0</v>
      </c>
      <c r="Y132" s="23" t="n">
        <v>0</v>
      </c>
      <c r="Z132" s="24" t="n">
        <f aca="false">G132*Y132</f>
        <v>0</v>
      </c>
      <c r="AA132" s="23" t="n">
        <v>0</v>
      </c>
      <c r="AB132" s="24" t="n">
        <f aca="false">J132*AA132</f>
        <v>0</v>
      </c>
      <c r="AC132" s="24" t="n">
        <f aca="false">Z132+AB132</f>
        <v>0</v>
      </c>
      <c r="AD132" s="24" t="n">
        <f aca="false">AC132-(AC132*11.5%)</f>
        <v>0</v>
      </c>
      <c r="AE132" s="25" t="n">
        <v>0</v>
      </c>
      <c r="AF132" s="24" t="n">
        <f aca="false">I132+J132-AE132</f>
        <v>0</v>
      </c>
      <c r="AG132" s="24" t="n">
        <f aca="false">AF132-AD132</f>
        <v>0</v>
      </c>
      <c r="AH132" s="24" t="n">
        <f aca="false">J132+U132-AD132</f>
        <v>0</v>
      </c>
    </row>
    <row r="133" customFormat="false" ht="15" hidden="false" customHeight="false" outlineLevel="0" collapsed="false">
      <c r="A133" s="19"/>
      <c r="B133" s="20"/>
      <c r="C133" s="21"/>
      <c r="D133" s="4"/>
      <c r="F133" s="5"/>
      <c r="G133" s="5"/>
      <c r="H133" s="5"/>
      <c r="I133" s="6"/>
      <c r="J133" s="7"/>
      <c r="K133" s="4"/>
      <c r="L133" s="4"/>
      <c r="M133" s="4"/>
      <c r="Q133" s="22"/>
      <c r="S133" s="23" t="n">
        <v>0</v>
      </c>
      <c r="T133" s="24" t="n">
        <f aca="false">H133*S133</f>
        <v>0</v>
      </c>
      <c r="U133" s="24" t="n">
        <f aca="false">T133-(T133*4.6%)</f>
        <v>0</v>
      </c>
      <c r="V133" s="5" t="n">
        <v>0</v>
      </c>
      <c r="W133" s="24" t="n">
        <f aca="false">I133-V133</f>
        <v>0</v>
      </c>
      <c r="X133" s="24" t="n">
        <f aca="false">W133-U133</f>
        <v>0</v>
      </c>
      <c r="Y133" s="23" t="n">
        <v>0</v>
      </c>
      <c r="Z133" s="24" t="n">
        <f aca="false">G133*Y133</f>
        <v>0</v>
      </c>
      <c r="AA133" s="23" t="n">
        <v>0</v>
      </c>
      <c r="AB133" s="24" t="n">
        <f aca="false">J133*AA133</f>
        <v>0</v>
      </c>
      <c r="AC133" s="24" t="n">
        <f aca="false">Z133+AB133</f>
        <v>0</v>
      </c>
      <c r="AD133" s="24" t="n">
        <f aca="false">AC133-(AC133*11.5%)</f>
        <v>0</v>
      </c>
      <c r="AE133" s="25" t="n">
        <v>0</v>
      </c>
      <c r="AF133" s="24" t="n">
        <f aca="false">I133+J133-AE133</f>
        <v>0</v>
      </c>
      <c r="AG133" s="24" t="n">
        <f aca="false">AF133-AD133</f>
        <v>0</v>
      </c>
      <c r="AH133" s="24" t="n">
        <f aca="false">J133+U133-AD133</f>
        <v>0</v>
      </c>
    </row>
    <row r="134" customFormat="false" ht="15" hidden="false" customHeight="false" outlineLevel="0" collapsed="false">
      <c r="A134" s="19"/>
      <c r="B134" s="20"/>
      <c r="C134" s="21"/>
      <c r="D134" s="4"/>
      <c r="F134" s="5"/>
      <c r="G134" s="5"/>
      <c r="H134" s="5"/>
      <c r="I134" s="6"/>
      <c r="J134" s="7"/>
      <c r="K134" s="4"/>
      <c r="L134" s="4"/>
      <c r="M134" s="4"/>
      <c r="Q134" s="22"/>
      <c r="S134" s="23" t="n">
        <v>0</v>
      </c>
      <c r="T134" s="24" t="n">
        <f aca="false">H134*S134</f>
        <v>0</v>
      </c>
      <c r="U134" s="24" t="n">
        <f aca="false">T134-(T134*4.6%)</f>
        <v>0</v>
      </c>
      <c r="V134" s="5" t="n">
        <v>0</v>
      </c>
      <c r="W134" s="24" t="n">
        <f aca="false">I134-V134</f>
        <v>0</v>
      </c>
      <c r="X134" s="24" t="n">
        <f aca="false">W134-U134</f>
        <v>0</v>
      </c>
      <c r="Y134" s="23" t="n">
        <v>0</v>
      </c>
      <c r="Z134" s="24" t="n">
        <f aca="false">G134*Y134</f>
        <v>0</v>
      </c>
      <c r="AA134" s="23" t="n">
        <v>0</v>
      </c>
      <c r="AB134" s="24" t="n">
        <f aca="false">J134*AA134</f>
        <v>0</v>
      </c>
      <c r="AC134" s="24" t="n">
        <f aca="false">Z134+AB134</f>
        <v>0</v>
      </c>
      <c r="AD134" s="24" t="n">
        <f aca="false">AC134-(AC134*11.5%)</f>
        <v>0</v>
      </c>
      <c r="AE134" s="25" t="n">
        <v>0</v>
      </c>
      <c r="AF134" s="24" t="n">
        <f aca="false">I134+J134-AE134</f>
        <v>0</v>
      </c>
      <c r="AG134" s="24" t="n">
        <f aca="false">AF134-AD134</f>
        <v>0</v>
      </c>
      <c r="AH134" s="24" t="n">
        <f aca="false">J134+U134-AD134</f>
        <v>0</v>
      </c>
    </row>
    <row r="135" customFormat="false" ht="15" hidden="false" customHeight="false" outlineLevel="0" collapsed="false">
      <c r="A135" s="19"/>
      <c r="B135" s="20"/>
      <c r="C135" s="21"/>
      <c r="D135" s="4"/>
      <c r="F135" s="5"/>
      <c r="G135" s="5"/>
      <c r="H135" s="5"/>
      <c r="I135" s="6"/>
      <c r="J135" s="7"/>
      <c r="K135" s="4"/>
      <c r="L135" s="4"/>
      <c r="M135" s="4"/>
      <c r="Q135" s="22"/>
      <c r="S135" s="23" t="n">
        <v>0</v>
      </c>
      <c r="T135" s="24" t="n">
        <f aca="false">H135*S135</f>
        <v>0</v>
      </c>
      <c r="U135" s="24" t="n">
        <f aca="false">T135-(T135*4.6%)</f>
        <v>0</v>
      </c>
      <c r="V135" s="5" t="n">
        <v>0</v>
      </c>
      <c r="W135" s="24" t="n">
        <f aca="false">I135-V135</f>
        <v>0</v>
      </c>
      <c r="X135" s="24" t="n">
        <f aca="false">W135-U135</f>
        <v>0</v>
      </c>
      <c r="Y135" s="23" t="n">
        <v>0</v>
      </c>
      <c r="Z135" s="24" t="n">
        <f aca="false">G135*Y135</f>
        <v>0</v>
      </c>
      <c r="AA135" s="23" t="n">
        <v>0</v>
      </c>
      <c r="AB135" s="24" t="n">
        <f aca="false">J135*AA135</f>
        <v>0</v>
      </c>
      <c r="AC135" s="24" t="n">
        <f aca="false">Z135+AB135</f>
        <v>0</v>
      </c>
      <c r="AD135" s="24" t="n">
        <f aca="false">AC135-(AC135*11.5%)</f>
        <v>0</v>
      </c>
      <c r="AE135" s="25" t="n">
        <v>0</v>
      </c>
      <c r="AF135" s="24" t="n">
        <f aca="false">I135+J135-AE135</f>
        <v>0</v>
      </c>
      <c r="AG135" s="24" t="n">
        <f aca="false">AF135-AD135</f>
        <v>0</v>
      </c>
      <c r="AH135" s="24" t="n">
        <f aca="false">J135+U135-AD135</f>
        <v>0</v>
      </c>
    </row>
    <row r="136" customFormat="false" ht="15" hidden="false" customHeight="false" outlineLevel="0" collapsed="false">
      <c r="A136" s="19"/>
      <c r="B136" s="20"/>
      <c r="C136" s="21"/>
      <c r="D136" s="4"/>
      <c r="F136" s="5"/>
      <c r="G136" s="5"/>
      <c r="H136" s="5"/>
      <c r="I136" s="6"/>
      <c r="J136" s="7"/>
      <c r="K136" s="4"/>
      <c r="L136" s="4"/>
      <c r="M136" s="4"/>
      <c r="Q136" s="22"/>
      <c r="S136" s="23" t="n">
        <v>0</v>
      </c>
      <c r="T136" s="24" t="n">
        <f aca="false">H136*S136</f>
        <v>0</v>
      </c>
      <c r="U136" s="24" t="n">
        <f aca="false">T136-(T136*4.6%)</f>
        <v>0</v>
      </c>
      <c r="V136" s="5" t="n">
        <v>0</v>
      </c>
      <c r="W136" s="24" t="n">
        <f aca="false">I136-V136</f>
        <v>0</v>
      </c>
      <c r="X136" s="24" t="n">
        <f aca="false">W136-U136</f>
        <v>0</v>
      </c>
      <c r="Y136" s="23" t="n">
        <v>0</v>
      </c>
      <c r="Z136" s="24" t="n">
        <f aca="false">G136*Y136</f>
        <v>0</v>
      </c>
      <c r="AA136" s="23" t="n">
        <v>0</v>
      </c>
      <c r="AB136" s="24" t="n">
        <f aca="false">J136*AA136</f>
        <v>0</v>
      </c>
      <c r="AC136" s="24" t="n">
        <f aca="false">Z136+AB136</f>
        <v>0</v>
      </c>
      <c r="AD136" s="24" t="n">
        <f aca="false">AC136-(AC136*11.5%)</f>
        <v>0</v>
      </c>
      <c r="AE136" s="25" t="n">
        <v>0</v>
      </c>
      <c r="AF136" s="24" t="n">
        <f aca="false">I136+J136-AE136</f>
        <v>0</v>
      </c>
      <c r="AG136" s="24" t="n">
        <f aca="false">AF136-AD136</f>
        <v>0</v>
      </c>
      <c r="AH136" s="24" t="n">
        <f aca="false">J136+U136-AD136</f>
        <v>0</v>
      </c>
    </row>
    <row r="137" customFormat="false" ht="15" hidden="false" customHeight="false" outlineLevel="0" collapsed="false">
      <c r="A137" s="19"/>
      <c r="B137" s="20"/>
      <c r="C137" s="21"/>
      <c r="D137" s="4"/>
      <c r="F137" s="5"/>
      <c r="G137" s="5"/>
      <c r="H137" s="5"/>
      <c r="I137" s="6"/>
      <c r="J137" s="7"/>
      <c r="K137" s="4"/>
      <c r="L137" s="4"/>
      <c r="M137" s="4"/>
      <c r="Q137" s="22"/>
      <c r="S137" s="23" t="n">
        <v>0</v>
      </c>
      <c r="T137" s="24" t="n">
        <f aca="false">H137*S137</f>
        <v>0</v>
      </c>
      <c r="U137" s="24" t="n">
        <f aca="false">T137-(T137*4.6%)</f>
        <v>0</v>
      </c>
      <c r="V137" s="5" t="n">
        <v>0</v>
      </c>
      <c r="W137" s="24" t="n">
        <f aca="false">I137-V137</f>
        <v>0</v>
      </c>
      <c r="X137" s="24" t="n">
        <f aca="false">W137-U137</f>
        <v>0</v>
      </c>
      <c r="Y137" s="23" t="n">
        <v>0</v>
      </c>
      <c r="Z137" s="24" t="n">
        <f aca="false">G137*Y137</f>
        <v>0</v>
      </c>
      <c r="AA137" s="23" t="n">
        <v>0</v>
      </c>
      <c r="AB137" s="24" t="n">
        <f aca="false">J137*AA137</f>
        <v>0</v>
      </c>
      <c r="AC137" s="24" t="n">
        <f aca="false">Z137+AB137</f>
        <v>0</v>
      </c>
      <c r="AD137" s="24" t="n">
        <f aca="false">AC137-(AC137*11.5%)</f>
        <v>0</v>
      </c>
      <c r="AE137" s="25" t="n">
        <v>0</v>
      </c>
      <c r="AF137" s="24" t="n">
        <f aca="false">I137+J137-AE137</f>
        <v>0</v>
      </c>
      <c r="AG137" s="24" t="n">
        <f aca="false">AF137-AD137</f>
        <v>0</v>
      </c>
      <c r="AH137" s="24" t="n">
        <f aca="false">J137+U137-AD137</f>
        <v>0</v>
      </c>
    </row>
    <row r="138" customFormat="false" ht="15" hidden="false" customHeight="false" outlineLevel="0" collapsed="false">
      <c r="A138" s="19"/>
      <c r="B138" s="20"/>
      <c r="C138" s="21"/>
      <c r="D138" s="4"/>
      <c r="F138" s="5"/>
      <c r="G138" s="5"/>
      <c r="H138" s="5"/>
      <c r="I138" s="6"/>
      <c r="J138" s="7"/>
      <c r="K138" s="4"/>
      <c r="L138" s="4"/>
      <c r="M138" s="4"/>
      <c r="Q138" s="22"/>
      <c r="S138" s="23" t="n">
        <v>0</v>
      </c>
      <c r="T138" s="24" t="n">
        <f aca="false">H138*S138</f>
        <v>0</v>
      </c>
      <c r="U138" s="24" t="n">
        <f aca="false">T138-(T138*4.6%)</f>
        <v>0</v>
      </c>
      <c r="V138" s="5" t="n">
        <v>0</v>
      </c>
      <c r="W138" s="24" t="n">
        <f aca="false">I138-V138</f>
        <v>0</v>
      </c>
      <c r="X138" s="24" t="n">
        <f aca="false">W138-U138</f>
        <v>0</v>
      </c>
      <c r="Y138" s="23" t="n">
        <v>0</v>
      </c>
      <c r="Z138" s="24" t="n">
        <f aca="false">G138*Y138</f>
        <v>0</v>
      </c>
      <c r="AA138" s="23" t="n">
        <v>0</v>
      </c>
      <c r="AB138" s="24" t="n">
        <f aca="false">J138*AA138</f>
        <v>0</v>
      </c>
      <c r="AC138" s="24" t="n">
        <f aca="false">Z138+AB138</f>
        <v>0</v>
      </c>
      <c r="AD138" s="24" t="n">
        <f aca="false">AC138-(AC138*11.5%)</f>
        <v>0</v>
      </c>
      <c r="AE138" s="25" t="n">
        <v>0</v>
      </c>
      <c r="AF138" s="24" t="n">
        <f aca="false">I138+J138-AE138</f>
        <v>0</v>
      </c>
      <c r="AG138" s="24" t="n">
        <f aca="false">AF138-AD138</f>
        <v>0</v>
      </c>
      <c r="AH138" s="24" t="n">
        <f aca="false">J138+U138-AD138</f>
        <v>0</v>
      </c>
    </row>
    <row r="139" customFormat="false" ht="15" hidden="false" customHeight="false" outlineLevel="0" collapsed="false">
      <c r="A139" s="19"/>
      <c r="B139" s="20"/>
      <c r="C139" s="21"/>
      <c r="D139" s="4"/>
      <c r="F139" s="5"/>
      <c r="G139" s="5"/>
      <c r="H139" s="5"/>
      <c r="I139" s="6"/>
      <c r="J139" s="7"/>
      <c r="K139" s="4"/>
      <c r="L139" s="4"/>
      <c r="M139" s="4"/>
      <c r="Q139" s="22"/>
      <c r="S139" s="23" t="n">
        <v>0</v>
      </c>
      <c r="T139" s="24" t="n">
        <f aca="false">H139*S139</f>
        <v>0</v>
      </c>
      <c r="U139" s="24" t="n">
        <f aca="false">T139-(T139*4.6%)</f>
        <v>0</v>
      </c>
      <c r="V139" s="5" t="n">
        <v>0</v>
      </c>
      <c r="W139" s="24" t="n">
        <f aca="false">I139-V139</f>
        <v>0</v>
      </c>
      <c r="X139" s="24" t="n">
        <f aca="false">W139-U139</f>
        <v>0</v>
      </c>
      <c r="Y139" s="23" t="n">
        <v>0</v>
      </c>
      <c r="Z139" s="24" t="n">
        <f aca="false">G139*Y139</f>
        <v>0</v>
      </c>
      <c r="AA139" s="23" t="n">
        <v>0</v>
      </c>
      <c r="AB139" s="24" t="n">
        <f aca="false">J139*AA139</f>
        <v>0</v>
      </c>
      <c r="AC139" s="24" t="n">
        <f aca="false">Z139+AB139</f>
        <v>0</v>
      </c>
      <c r="AD139" s="24" t="n">
        <f aca="false">AC139-(AC139*11.5%)</f>
        <v>0</v>
      </c>
      <c r="AE139" s="25" t="n">
        <v>0</v>
      </c>
      <c r="AF139" s="24" t="n">
        <f aca="false">I139+J139-AE139</f>
        <v>0</v>
      </c>
      <c r="AG139" s="24" t="n">
        <f aca="false">AF139-AD139</f>
        <v>0</v>
      </c>
      <c r="AH139" s="24" t="n">
        <f aca="false">J139+U139-AD139</f>
        <v>0</v>
      </c>
    </row>
    <row r="140" customFormat="false" ht="15" hidden="false" customHeight="false" outlineLevel="0" collapsed="false">
      <c r="A140" s="19"/>
      <c r="B140" s="20"/>
      <c r="C140" s="21"/>
      <c r="D140" s="4"/>
      <c r="F140" s="5"/>
      <c r="G140" s="5"/>
      <c r="H140" s="5"/>
      <c r="I140" s="6"/>
      <c r="J140" s="7"/>
      <c r="K140" s="4"/>
      <c r="L140" s="4"/>
      <c r="M140" s="4"/>
      <c r="Q140" s="22"/>
      <c r="S140" s="23" t="n">
        <v>0</v>
      </c>
      <c r="T140" s="24" t="n">
        <f aca="false">H140*S140</f>
        <v>0</v>
      </c>
      <c r="U140" s="24" t="n">
        <f aca="false">T140-(T140*4.6%)</f>
        <v>0</v>
      </c>
      <c r="V140" s="5" t="n">
        <v>0</v>
      </c>
      <c r="W140" s="24" t="n">
        <f aca="false">I140-V140</f>
        <v>0</v>
      </c>
      <c r="X140" s="24" t="n">
        <f aca="false">W140-U140</f>
        <v>0</v>
      </c>
      <c r="Y140" s="23" t="n">
        <v>0</v>
      </c>
      <c r="Z140" s="24" t="n">
        <f aca="false">G140*Y140</f>
        <v>0</v>
      </c>
      <c r="AA140" s="23" t="n">
        <v>0</v>
      </c>
      <c r="AB140" s="24" t="n">
        <f aca="false">J140*AA140</f>
        <v>0</v>
      </c>
      <c r="AC140" s="24" t="n">
        <f aca="false">Z140+AB140</f>
        <v>0</v>
      </c>
      <c r="AD140" s="24" t="n">
        <f aca="false">AC140-(AC140*11.5%)</f>
        <v>0</v>
      </c>
      <c r="AE140" s="25" t="n">
        <v>0</v>
      </c>
      <c r="AF140" s="24" t="n">
        <f aca="false">I140+J140-AE140</f>
        <v>0</v>
      </c>
      <c r="AG140" s="24" t="n">
        <f aca="false">AF140-AD140</f>
        <v>0</v>
      </c>
      <c r="AH140" s="24" t="n">
        <f aca="false">J140+U140-AD140</f>
        <v>0</v>
      </c>
    </row>
    <row r="141" customFormat="false" ht="15" hidden="false" customHeight="false" outlineLevel="0" collapsed="false">
      <c r="A141" s="19"/>
      <c r="B141" s="20"/>
      <c r="C141" s="21"/>
      <c r="D141" s="4"/>
      <c r="F141" s="5"/>
      <c r="G141" s="5"/>
      <c r="H141" s="5"/>
      <c r="I141" s="6"/>
      <c r="J141" s="7"/>
      <c r="K141" s="4"/>
      <c r="L141" s="4"/>
      <c r="M141" s="4"/>
      <c r="Q141" s="22"/>
      <c r="S141" s="23" t="n">
        <v>0</v>
      </c>
      <c r="T141" s="24" t="n">
        <f aca="false">H141*S141</f>
        <v>0</v>
      </c>
      <c r="U141" s="24" t="n">
        <f aca="false">T141-(T141*4.6%)</f>
        <v>0</v>
      </c>
      <c r="V141" s="5" t="n">
        <v>0</v>
      </c>
      <c r="W141" s="24" t="n">
        <f aca="false">I141-V141</f>
        <v>0</v>
      </c>
      <c r="X141" s="24" t="n">
        <f aca="false">W141-U141</f>
        <v>0</v>
      </c>
      <c r="Y141" s="23" t="n">
        <v>0</v>
      </c>
      <c r="Z141" s="24" t="n">
        <f aca="false">G141*Y141</f>
        <v>0</v>
      </c>
      <c r="AA141" s="23" t="n">
        <v>0</v>
      </c>
      <c r="AB141" s="24" t="n">
        <f aca="false">J141*AA141</f>
        <v>0</v>
      </c>
      <c r="AC141" s="24" t="n">
        <f aca="false">Z141+AB141</f>
        <v>0</v>
      </c>
      <c r="AD141" s="24" t="n">
        <f aca="false">AC141-(AC141*11.5%)</f>
        <v>0</v>
      </c>
      <c r="AE141" s="25" t="n">
        <v>0</v>
      </c>
      <c r="AF141" s="24" t="n">
        <f aca="false">I141+J141-AE141</f>
        <v>0</v>
      </c>
      <c r="AG141" s="24" t="n">
        <f aca="false">AF141-AD141</f>
        <v>0</v>
      </c>
      <c r="AH141" s="24" t="n">
        <f aca="false">J141+U141-AD141</f>
        <v>0</v>
      </c>
    </row>
    <row r="142" customFormat="false" ht="15" hidden="false" customHeight="false" outlineLevel="0" collapsed="false">
      <c r="A142" s="19"/>
      <c r="B142" s="20"/>
      <c r="C142" s="21"/>
      <c r="D142" s="4"/>
      <c r="F142" s="5"/>
      <c r="G142" s="5"/>
      <c r="H142" s="5"/>
      <c r="I142" s="6"/>
      <c r="J142" s="7"/>
      <c r="K142" s="4"/>
      <c r="L142" s="4"/>
      <c r="M142" s="4"/>
      <c r="Q142" s="22"/>
      <c r="S142" s="23" t="n">
        <v>0</v>
      </c>
      <c r="T142" s="24" t="n">
        <f aca="false">H142*S142</f>
        <v>0</v>
      </c>
      <c r="U142" s="24" t="n">
        <f aca="false">T142-(T142*4.6%)</f>
        <v>0</v>
      </c>
      <c r="V142" s="5" t="n">
        <v>0</v>
      </c>
      <c r="W142" s="24" t="n">
        <f aca="false">I142-V142</f>
        <v>0</v>
      </c>
      <c r="X142" s="24" t="n">
        <f aca="false">W142-U142</f>
        <v>0</v>
      </c>
      <c r="Y142" s="23" t="n">
        <v>0</v>
      </c>
      <c r="Z142" s="24" t="n">
        <f aca="false">G142*Y142</f>
        <v>0</v>
      </c>
      <c r="AA142" s="23" t="n">
        <v>0</v>
      </c>
      <c r="AB142" s="24" t="n">
        <f aca="false">J142*AA142</f>
        <v>0</v>
      </c>
      <c r="AC142" s="24" t="n">
        <f aca="false">Z142+AB142</f>
        <v>0</v>
      </c>
      <c r="AD142" s="24" t="n">
        <f aca="false">AC142-(AC142*11.5%)</f>
        <v>0</v>
      </c>
      <c r="AE142" s="25" t="n">
        <v>0</v>
      </c>
      <c r="AF142" s="24" t="n">
        <f aca="false">I142+J142-AE142</f>
        <v>0</v>
      </c>
      <c r="AG142" s="24" t="n">
        <f aca="false">AF142-AD142</f>
        <v>0</v>
      </c>
      <c r="AH142" s="24" t="n">
        <f aca="false">J142+U142-AD142</f>
        <v>0</v>
      </c>
    </row>
    <row r="143" customFormat="false" ht="15" hidden="false" customHeight="false" outlineLevel="0" collapsed="false">
      <c r="A143" s="19"/>
      <c r="B143" s="20"/>
      <c r="C143" s="21"/>
      <c r="D143" s="4"/>
      <c r="F143" s="5"/>
      <c r="G143" s="5"/>
      <c r="H143" s="5"/>
      <c r="I143" s="6"/>
      <c r="J143" s="7"/>
      <c r="K143" s="4"/>
      <c r="L143" s="4"/>
      <c r="M143" s="4"/>
      <c r="Q143" s="22"/>
      <c r="S143" s="23" t="n">
        <v>0</v>
      </c>
      <c r="T143" s="24" t="n">
        <f aca="false">H143*S143</f>
        <v>0</v>
      </c>
      <c r="U143" s="24" t="n">
        <f aca="false">T143-(T143*4.6%)</f>
        <v>0</v>
      </c>
      <c r="V143" s="5" t="n">
        <v>0</v>
      </c>
      <c r="W143" s="24" t="n">
        <f aca="false">I143-V143</f>
        <v>0</v>
      </c>
      <c r="X143" s="24" t="n">
        <f aca="false">W143-U143</f>
        <v>0</v>
      </c>
      <c r="Y143" s="23" t="n">
        <v>0</v>
      </c>
      <c r="Z143" s="24" t="n">
        <f aca="false">G143*Y143</f>
        <v>0</v>
      </c>
      <c r="AA143" s="23" t="n">
        <v>0</v>
      </c>
      <c r="AB143" s="24" t="n">
        <f aca="false">J143*AA143</f>
        <v>0</v>
      </c>
      <c r="AC143" s="24" t="n">
        <f aca="false">Z143+AB143</f>
        <v>0</v>
      </c>
      <c r="AD143" s="24" t="n">
        <f aca="false">AC143-(AC143*11.5%)</f>
        <v>0</v>
      </c>
      <c r="AE143" s="25" t="n">
        <v>0</v>
      </c>
      <c r="AF143" s="24" t="n">
        <f aca="false">I143+J143-AE143</f>
        <v>0</v>
      </c>
      <c r="AG143" s="24" t="n">
        <f aca="false">AF143-AD143</f>
        <v>0</v>
      </c>
      <c r="AH143" s="24" t="n">
        <f aca="false">J143+U143-AD143</f>
        <v>0</v>
      </c>
    </row>
    <row r="144" customFormat="false" ht="15" hidden="false" customHeight="false" outlineLevel="0" collapsed="false">
      <c r="A144" s="19"/>
      <c r="B144" s="20"/>
      <c r="C144" s="21"/>
      <c r="D144" s="4"/>
      <c r="F144" s="5"/>
      <c r="G144" s="5"/>
      <c r="H144" s="5"/>
      <c r="I144" s="6"/>
      <c r="J144" s="7"/>
      <c r="K144" s="4"/>
      <c r="L144" s="4"/>
      <c r="M144" s="4"/>
      <c r="Q144" s="22"/>
      <c r="S144" s="23" t="n">
        <v>0</v>
      </c>
      <c r="T144" s="24" t="n">
        <f aca="false">H144*S144</f>
        <v>0</v>
      </c>
      <c r="U144" s="24" t="n">
        <f aca="false">T144-(T144*4.6%)</f>
        <v>0</v>
      </c>
      <c r="V144" s="5" t="n">
        <v>0</v>
      </c>
      <c r="W144" s="24" t="n">
        <f aca="false">I144-V144</f>
        <v>0</v>
      </c>
      <c r="X144" s="24" t="n">
        <f aca="false">W144-U144</f>
        <v>0</v>
      </c>
      <c r="Y144" s="23" t="n">
        <v>0</v>
      </c>
      <c r="Z144" s="24" t="n">
        <f aca="false">G144*Y144</f>
        <v>0</v>
      </c>
      <c r="AA144" s="23" t="n">
        <v>0</v>
      </c>
      <c r="AB144" s="24" t="n">
        <f aca="false">J144*AA144</f>
        <v>0</v>
      </c>
      <c r="AC144" s="24" t="n">
        <f aca="false">Z144+AB144</f>
        <v>0</v>
      </c>
      <c r="AD144" s="24" t="n">
        <f aca="false">AC144-(AC144*11.5%)</f>
        <v>0</v>
      </c>
      <c r="AE144" s="25" t="n">
        <v>0</v>
      </c>
      <c r="AF144" s="24" t="n">
        <f aca="false">I144+J144-AE144</f>
        <v>0</v>
      </c>
      <c r="AG144" s="24" t="n">
        <f aca="false">AF144-AD144</f>
        <v>0</v>
      </c>
      <c r="AH144" s="24" t="n">
        <f aca="false">J144+U144-AD144</f>
        <v>0</v>
      </c>
    </row>
    <row r="145" customFormat="false" ht="15" hidden="false" customHeight="false" outlineLevel="0" collapsed="false">
      <c r="A145" s="19"/>
      <c r="B145" s="20"/>
      <c r="C145" s="21"/>
      <c r="D145" s="4"/>
      <c r="F145" s="5"/>
      <c r="G145" s="5"/>
      <c r="H145" s="5"/>
      <c r="I145" s="6"/>
      <c r="J145" s="7"/>
      <c r="K145" s="4"/>
      <c r="L145" s="4"/>
      <c r="M145" s="4"/>
      <c r="Q145" s="22"/>
      <c r="S145" s="23" t="n">
        <v>0</v>
      </c>
      <c r="T145" s="24" t="n">
        <f aca="false">H145*S145</f>
        <v>0</v>
      </c>
      <c r="U145" s="24" t="n">
        <f aca="false">T145-(T145*4.6%)</f>
        <v>0</v>
      </c>
      <c r="V145" s="5" t="n">
        <v>0</v>
      </c>
      <c r="W145" s="24" t="n">
        <f aca="false">I145-V145</f>
        <v>0</v>
      </c>
      <c r="X145" s="24" t="n">
        <f aca="false">W145-U145</f>
        <v>0</v>
      </c>
      <c r="Y145" s="23" t="n">
        <v>0</v>
      </c>
      <c r="Z145" s="24" t="n">
        <f aca="false">G145*Y145</f>
        <v>0</v>
      </c>
      <c r="AA145" s="23" t="n">
        <v>0</v>
      </c>
      <c r="AB145" s="24" t="n">
        <f aca="false">J145*AA145</f>
        <v>0</v>
      </c>
      <c r="AC145" s="24" t="n">
        <f aca="false">Z145+AB145</f>
        <v>0</v>
      </c>
      <c r="AD145" s="24" t="n">
        <f aca="false">AC145-(AC145*11.5%)</f>
        <v>0</v>
      </c>
      <c r="AE145" s="25" t="n">
        <v>0</v>
      </c>
      <c r="AF145" s="24" t="n">
        <f aca="false">I145+J145-AE145</f>
        <v>0</v>
      </c>
      <c r="AG145" s="24" t="n">
        <f aca="false">AF145-AD145</f>
        <v>0</v>
      </c>
      <c r="AH145" s="24" t="n">
        <f aca="false">J145+U145-AD145</f>
        <v>0</v>
      </c>
    </row>
    <row r="146" customFormat="false" ht="15" hidden="false" customHeight="false" outlineLevel="0" collapsed="false">
      <c r="A146" s="19"/>
      <c r="B146" s="20"/>
      <c r="C146" s="21"/>
      <c r="D146" s="4"/>
      <c r="F146" s="5"/>
      <c r="G146" s="5"/>
      <c r="H146" s="5"/>
      <c r="I146" s="6"/>
      <c r="J146" s="7"/>
      <c r="K146" s="4"/>
      <c r="L146" s="4"/>
      <c r="M146" s="4"/>
      <c r="Q146" s="22"/>
      <c r="S146" s="23" t="n">
        <v>0</v>
      </c>
      <c r="T146" s="24" t="n">
        <f aca="false">H146*S146</f>
        <v>0</v>
      </c>
      <c r="U146" s="24" t="n">
        <f aca="false">T146-(T146*4.6%)</f>
        <v>0</v>
      </c>
      <c r="V146" s="5" t="n">
        <v>0</v>
      </c>
      <c r="W146" s="24" t="n">
        <f aca="false">I146-V146</f>
        <v>0</v>
      </c>
      <c r="X146" s="24" t="n">
        <f aca="false">W146-U146</f>
        <v>0</v>
      </c>
      <c r="Y146" s="23" t="n">
        <v>0</v>
      </c>
      <c r="Z146" s="24" t="n">
        <f aca="false">G146*Y146</f>
        <v>0</v>
      </c>
      <c r="AA146" s="23" t="n">
        <v>0</v>
      </c>
      <c r="AB146" s="24" t="n">
        <f aca="false">J146*AA146</f>
        <v>0</v>
      </c>
      <c r="AC146" s="24" t="n">
        <f aca="false">Z146+AB146</f>
        <v>0</v>
      </c>
      <c r="AD146" s="24" t="n">
        <f aca="false">AC146-(AC146*11.5%)</f>
        <v>0</v>
      </c>
      <c r="AE146" s="25" t="n">
        <v>0</v>
      </c>
      <c r="AF146" s="24" t="n">
        <f aca="false">I146+J146-AE146</f>
        <v>0</v>
      </c>
      <c r="AG146" s="24" t="n">
        <f aca="false">AF146-AD146</f>
        <v>0</v>
      </c>
      <c r="AH146" s="24" t="n">
        <f aca="false">J146+U146-AD146</f>
        <v>0</v>
      </c>
    </row>
    <row r="147" customFormat="false" ht="15" hidden="false" customHeight="false" outlineLevel="0" collapsed="false">
      <c r="A147" s="19"/>
      <c r="B147" s="20"/>
      <c r="C147" s="21"/>
      <c r="D147" s="4"/>
      <c r="F147" s="5"/>
      <c r="G147" s="5"/>
      <c r="H147" s="5"/>
      <c r="I147" s="6"/>
      <c r="J147" s="7"/>
      <c r="K147" s="4"/>
      <c r="L147" s="4"/>
      <c r="M147" s="4"/>
      <c r="Q147" s="22"/>
      <c r="S147" s="23" t="n">
        <v>0</v>
      </c>
      <c r="T147" s="24" t="n">
        <f aca="false">H147*S147</f>
        <v>0</v>
      </c>
      <c r="U147" s="24" t="n">
        <f aca="false">T147-(T147*4.6%)</f>
        <v>0</v>
      </c>
      <c r="V147" s="5" t="n">
        <v>0</v>
      </c>
      <c r="W147" s="24" t="n">
        <f aca="false">I147-V147</f>
        <v>0</v>
      </c>
      <c r="X147" s="24" t="n">
        <f aca="false">W147-U147</f>
        <v>0</v>
      </c>
      <c r="Y147" s="23" t="n">
        <v>0</v>
      </c>
      <c r="Z147" s="24" t="n">
        <f aca="false">G147*Y147</f>
        <v>0</v>
      </c>
      <c r="AA147" s="23" t="n">
        <v>0</v>
      </c>
      <c r="AB147" s="24" t="n">
        <f aca="false">J147*AA147</f>
        <v>0</v>
      </c>
      <c r="AC147" s="24" t="n">
        <f aca="false">Z147+AB147</f>
        <v>0</v>
      </c>
      <c r="AD147" s="24" t="n">
        <f aca="false">AC147-(AC147*11.5%)</f>
        <v>0</v>
      </c>
      <c r="AE147" s="25" t="n">
        <v>0</v>
      </c>
      <c r="AF147" s="24" t="n">
        <f aca="false">I147+J147-AE147</f>
        <v>0</v>
      </c>
      <c r="AG147" s="24" t="n">
        <f aca="false">AF147-AD147</f>
        <v>0</v>
      </c>
      <c r="AH147" s="24" t="n">
        <f aca="false">J147+U147-AD147</f>
        <v>0</v>
      </c>
    </row>
    <row r="148" customFormat="false" ht="15" hidden="false" customHeight="false" outlineLevel="0" collapsed="false">
      <c r="A148" s="19"/>
      <c r="B148" s="20"/>
      <c r="C148" s="21"/>
      <c r="D148" s="4"/>
      <c r="F148" s="5"/>
      <c r="G148" s="5"/>
      <c r="H148" s="5"/>
      <c r="I148" s="6"/>
      <c r="J148" s="7"/>
      <c r="K148" s="4"/>
      <c r="L148" s="4"/>
      <c r="M148" s="4"/>
      <c r="Q148" s="22"/>
      <c r="S148" s="23" t="n">
        <v>0</v>
      </c>
      <c r="T148" s="24" t="n">
        <f aca="false">H148*S148</f>
        <v>0</v>
      </c>
      <c r="U148" s="24" t="n">
        <f aca="false">T148-(T148*4.6%)</f>
        <v>0</v>
      </c>
      <c r="V148" s="5" t="n">
        <v>0</v>
      </c>
      <c r="W148" s="24" t="n">
        <f aca="false">I148-V148</f>
        <v>0</v>
      </c>
      <c r="X148" s="24" t="n">
        <f aca="false">W148-U148</f>
        <v>0</v>
      </c>
      <c r="Y148" s="23" t="n">
        <v>0</v>
      </c>
      <c r="Z148" s="24" t="n">
        <f aca="false">G148*Y148</f>
        <v>0</v>
      </c>
      <c r="AA148" s="23" t="n">
        <v>0</v>
      </c>
      <c r="AB148" s="24" t="n">
        <f aca="false">J148*AA148</f>
        <v>0</v>
      </c>
      <c r="AC148" s="24" t="n">
        <f aca="false">Z148+AB148</f>
        <v>0</v>
      </c>
      <c r="AD148" s="24" t="n">
        <f aca="false">AC148-(AC148*11.5%)</f>
        <v>0</v>
      </c>
      <c r="AE148" s="25" t="n">
        <v>0</v>
      </c>
      <c r="AF148" s="24" t="n">
        <f aca="false">I148+J148-AE148</f>
        <v>0</v>
      </c>
      <c r="AG148" s="24" t="n">
        <f aca="false">AF148-AD148</f>
        <v>0</v>
      </c>
      <c r="AH148" s="24" t="n">
        <f aca="false">J148+U148-AD148</f>
        <v>0</v>
      </c>
    </row>
    <row r="149" customFormat="false" ht="15" hidden="false" customHeight="false" outlineLevel="0" collapsed="false">
      <c r="A149" s="19"/>
      <c r="B149" s="20"/>
      <c r="C149" s="21"/>
      <c r="D149" s="4"/>
      <c r="F149" s="5"/>
      <c r="G149" s="5"/>
      <c r="H149" s="5"/>
      <c r="I149" s="6"/>
      <c r="J149" s="7"/>
      <c r="K149" s="4"/>
      <c r="L149" s="4"/>
      <c r="M149" s="4"/>
      <c r="Q149" s="22"/>
      <c r="S149" s="23" t="n">
        <v>0</v>
      </c>
      <c r="T149" s="24" t="n">
        <f aca="false">H149*S149</f>
        <v>0</v>
      </c>
      <c r="U149" s="24" t="n">
        <f aca="false">T149-(T149*4.6%)</f>
        <v>0</v>
      </c>
      <c r="V149" s="5" t="n">
        <v>0</v>
      </c>
      <c r="W149" s="24" t="n">
        <f aca="false">I149-V149</f>
        <v>0</v>
      </c>
      <c r="X149" s="24" t="n">
        <f aca="false">W149-U149</f>
        <v>0</v>
      </c>
      <c r="Y149" s="23" t="n">
        <v>0</v>
      </c>
      <c r="Z149" s="24" t="n">
        <f aca="false">G149*Y149</f>
        <v>0</v>
      </c>
      <c r="AA149" s="23" t="n">
        <v>0</v>
      </c>
      <c r="AB149" s="24" t="n">
        <f aca="false">J149*AA149</f>
        <v>0</v>
      </c>
      <c r="AC149" s="24" t="n">
        <f aca="false">Z149+AB149</f>
        <v>0</v>
      </c>
      <c r="AD149" s="24" t="n">
        <f aca="false">AC149-(AC149*11.5%)</f>
        <v>0</v>
      </c>
      <c r="AE149" s="25" t="n">
        <v>0</v>
      </c>
      <c r="AF149" s="24" t="n">
        <f aca="false">I149+J149-AE149</f>
        <v>0</v>
      </c>
      <c r="AG149" s="24" t="n">
        <f aca="false">AF149-AD149</f>
        <v>0</v>
      </c>
      <c r="AH149" s="24" t="n">
        <f aca="false">J149+U149-AD149</f>
        <v>0</v>
      </c>
    </row>
    <row r="150" customFormat="false" ht="15" hidden="false" customHeight="false" outlineLevel="0" collapsed="false">
      <c r="A150" s="19"/>
      <c r="B150" s="20"/>
      <c r="C150" s="21"/>
      <c r="D150" s="4"/>
      <c r="F150" s="5"/>
      <c r="G150" s="5"/>
      <c r="H150" s="5"/>
      <c r="I150" s="6"/>
      <c r="J150" s="7"/>
      <c r="K150" s="4"/>
      <c r="L150" s="4"/>
      <c r="M150" s="4"/>
      <c r="Q150" s="22"/>
      <c r="S150" s="23" t="n">
        <v>0</v>
      </c>
      <c r="T150" s="24" t="n">
        <f aca="false">H150*S150</f>
        <v>0</v>
      </c>
      <c r="U150" s="24" t="n">
        <f aca="false">T150-(T150*4.6%)</f>
        <v>0</v>
      </c>
      <c r="V150" s="5" t="n">
        <v>0</v>
      </c>
      <c r="W150" s="24" t="n">
        <f aca="false">I150-V150</f>
        <v>0</v>
      </c>
      <c r="X150" s="24" t="n">
        <f aca="false">W150-U150</f>
        <v>0</v>
      </c>
      <c r="Y150" s="23" t="n">
        <v>0</v>
      </c>
      <c r="Z150" s="24" t="n">
        <f aca="false">G150*Y150</f>
        <v>0</v>
      </c>
      <c r="AA150" s="23" t="n">
        <v>0</v>
      </c>
      <c r="AB150" s="24" t="n">
        <f aca="false">J150*AA150</f>
        <v>0</v>
      </c>
      <c r="AC150" s="24" t="n">
        <f aca="false">Z150+AB150</f>
        <v>0</v>
      </c>
      <c r="AD150" s="24" t="n">
        <f aca="false">AC150-(AC150*11.5%)</f>
        <v>0</v>
      </c>
      <c r="AE150" s="25" t="n">
        <v>0</v>
      </c>
      <c r="AF150" s="24" t="n">
        <f aca="false">I150+J150-AE150</f>
        <v>0</v>
      </c>
      <c r="AG150" s="24" t="n">
        <f aca="false">AF150-AD150</f>
        <v>0</v>
      </c>
      <c r="AH150" s="24" t="n">
        <f aca="false">J150+U150-AD150</f>
        <v>0</v>
      </c>
    </row>
    <row r="151" customFormat="false" ht="15" hidden="false" customHeight="false" outlineLevel="0" collapsed="false">
      <c r="A151" s="19"/>
      <c r="B151" s="20"/>
      <c r="C151" s="21"/>
      <c r="D151" s="4"/>
      <c r="F151" s="5"/>
      <c r="G151" s="5"/>
      <c r="H151" s="5"/>
      <c r="I151" s="6"/>
      <c r="J151" s="7"/>
      <c r="K151" s="4"/>
      <c r="L151" s="4"/>
      <c r="M151" s="4"/>
      <c r="Q151" s="22"/>
      <c r="S151" s="23" t="n">
        <v>0</v>
      </c>
      <c r="T151" s="24" t="n">
        <f aca="false">H151*S151</f>
        <v>0</v>
      </c>
      <c r="U151" s="24" t="n">
        <f aca="false">T151-(T151*4.6%)</f>
        <v>0</v>
      </c>
      <c r="V151" s="5" t="n">
        <v>0</v>
      </c>
      <c r="W151" s="24" t="n">
        <f aca="false">I151-V151</f>
        <v>0</v>
      </c>
      <c r="X151" s="24" t="n">
        <f aca="false">W151-U151</f>
        <v>0</v>
      </c>
      <c r="Y151" s="23" t="n">
        <v>0</v>
      </c>
      <c r="Z151" s="24" t="n">
        <f aca="false">G151*Y151</f>
        <v>0</v>
      </c>
      <c r="AA151" s="23" t="n">
        <v>0</v>
      </c>
      <c r="AB151" s="24" t="n">
        <f aca="false">J151*AA151</f>
        <v>0</v>
      </c>
      <c r="AC151" s="24" t="n">
        <f aca="false">Z151+AB151</f>
        <v>0</v>
      </c>
      <c r="AD151" s="24" t="n">
        <f aca="false">AC151-(AC151*11.5%)</f>
        <v>0</v>
      </c>
      <c r="AE151" s="25" t="n">
        <v>0</v>
      </c>
      <c r="AF151" s="24" t="n">
        <f aca="false">I151+J151-AE151</f>
        <v>0</v>
      </c>
      <c r="AG151" s="24" t="n">
        <f aca="false">AF151-AD151</f>
        <v>0</v>
      </c>
      <c r="AH151" s="24" t="n">
        <f aca="false">J151+U151-AD151</f>
        <v>0</v>
      </c>
    </row>
    <row r="152" customFormat="false" ht="15" hidden="false" customHeight="false" outlineLevel="0" collapsed="false">
      <c r="A152" s="19"/>
      <c r="B152" s="20"/>
      <c r="C152" s="21"/>
      <c r="D152" s="4"/>
      <c r="F152" s="5"/>
      <c r="G152" s="5"/>
      <c r="H152" s="5"/>
      <c r="I152" s="6"/>
      <c r="J152" s="7"/>
      <c r="K152" s="4"/>
      <c r="L152" s="4"/>
      <c r="M152" s="4"/>
      <c r="Q152" s="22"/>
      <c r="S152" s="23" t="n">
        <v>0</v>
      </c>
      <c r="T152" s="24" t="n">
        <f aca="false">H152*S152</f>
        <v>0</v>
      </c>
      <c r="U152" s="24" t="n">
        <f aca="false">T152-(T152*4.6%)</f>
        <v>0</v>
      </c>
      <c r="V152" s="5" t="n">
        <v>0</v>
      </c>
      <c r="W152" s="24" t="n">
        <f aca="false">I152-V152</f>
        <v>0</v>
      </c>
      <c r="X152" s="24" t="n">
        <f aca="false">W152-U152</f>
        <v>0</v>
      </c>
      <c r="Y152" s="23" t="n">
        <v>0</v>
      </c>
      <c r="Z152" s="24" t="n">
        <f aca="false">G152*Y152</f>
        <v>0</v>
      </c>
      <c r="AA152" s="23" t="n">
        <v>0</v>
      </c>
      <c r="AB152" s="24" t="n">
        <f aca="false">J152*AA152</f>
        <v>0</v>
      </c>
      <c r="AC152" s="24" t="n">
        <f aca="false">Z152+AB152</f>
        <v>0</v>
      </c>
      <c r="AD152" s="24" t="n">
        <f aca="false">AC152-(AC152*11.5%)</f>
        <v>0</v>
      </c>
      <c r="AE152" s="25" t="n">
        <v>0</v>
      </c>
      <c r="AF152" s="24" t="n">
        <f aca="false">I152+J152-AE152</f>
        <v>0</v>
      </c>
      <c r="AG152" s="24" t="n">
        <f aca="false">AF152-AD152</f>
        <v>0</v>
      </c>
      <c r="AH152" s="24" t="n">
        <f aca="false">J152+U152-AD152</f>
        <v>0</v>
      </c>
    </row>
    <row r="153" customFormat="false" ht="15" hidden="false" customHeight="false" outlineLevel="0" collapsed="false">
      <c r="A153" s="19"/>
      <c r="B153" s="20"/>
      <c r="C153" s="21"/>
      <c r="D153" s="4"/>
      <c r="F153" s="5"/>
      <c r="G153" s="5"/>
      <c r="H153" s="5"/>
      <c r="I153" s="6"/>
      <c r="J153" s="7"/>
      <c r="K153" s="4"/>
      <c r="L153" s="4"/>
      <c r="M153" s="4"/>
      <c r="Q153" s="22"/>
      <c r="S153" s="23" t="n">
        <v>0</v>
      </c>
      <c r="T153" s="24" t="n">
        <f aca="false">H153*S153</f>
        <v>0</v>
      </c>
      <c r="U153" s="24" t="n">
        <f aca="false">T153-(T153*4.6%)</f>
        <v>0</v>
      </c>
      <c r="V153" s="5" t="n">
        <v>0</v>
      </c>
      <c r="W153" s="24" t="n">
        <f aca="false">I153-V153</f>
        <v>0</v>
      </c>
      <c r="X153" s="24" t="n">
        <f aca="false">W153-U153</f>
        <v>0</v>
      </c>
      <c r="Y153" s="23" t="n">
        <v>0</v>
      </c>
      <c r="Z153" s="24" t="n">
        <f aca="false">G153*Y153</f>
        <v>0</v>
      </c>
      <c r="AA153" s="23" t="n">
        <v>0</v>
      </c>
      <c r="AB153" s="24" t="n">
        <f aca="false">J153*AA153</f>
        <v>0</v>
      </c>
      <c r="AC153" s="24" t="n">
        <f aca="false">Z153+AB153</f>
        <v>0</v>
      </c>
      <c r="AD153" s="24" t="n">
        <f aca="false">AC153-(AC153*11.5%)</f>
        <v>0</v>
      </c>
      <c r="AE153" s="25" t="n">
        <v>0</v>
      </c>
      <c r="AF153" s="24" t="n">
        <f aca="false">I153+J153-AE153</f>
        <v>0</v>
      </c>
      <c r="AG153" s="24" t="n">
        <f aca="false">AF153-AD153</f>
        <v>0</v>
      </c>
      <c r="AH153" s="24" t="n">
        <f aca="false">J153+U153-AD153</f>
        <v>0</v>
      </c>
    </row>
    <row r="154" customFormat="false" ht="15" hidden="false" customHeight="false" outlineLevel="0" collapsed="false">
      <c r="A154" s="19"/>
      <c r="B154" s="20"/>
      <c r="C154" s="21"/>
      <c r="D154" s="4"/>
      <c r="F154" s="5"/>
      <c r="G154" s="5"/>
      <c r="H154" s="5"/>
      <c r="I154" s="6"/>
      <c r="J154" s="7"/>
      <c r="K154" s="4"/>
      <c r="L154" s="4"/>
      <c r="M154" s="4"/>
      <c r="Q154" s="22"/>
      <c r="S154" s="23" t="n">
        <v>0</v>
      </c>
      <c r="T154" s="24" t="n">
        <f aca="false">H154*S154</f>
        <v>0</v>
      </c>
      <c r="U154" s="24" t="n">
        <f aca="false">T154-(T154*4.6%)</f>
        <v>0</v>
      </c>
      <c r="V154" s="5" t="n">
        <v>0</v>
      </c>
      <c r="W154" s="24" t="n">
        <f aca="false">I154-V154</f>
        <v>0</v>
      </c>
      <c r="X154" s="24" t="n">
        <f aca="false">W154-U154</f>
        <v>0</v>
      </c>
      <c r="Y154" s="23" t="n">
        <v>0</v>
      </c>
      <c r="Z154" s="24" t="n">
        <f aca="false">G154*Y154</f>
        <v>0</v>
      </c>
      <c r="AA154" s="23" t="n">
        <v>0</v>
      </c>
      <c r="AB154" s="24" t="n">
        <f aca="false">J154*AA154</f>
        <v>0</v>
      </c>
      <c r="AC154" s="24" t="n">
        <f aca="false">Z154+AB154</f>
        <v>0</v>
      </c>
      <c r="AD154" s="24" t="n">
        <f aca="false">AC154-(AC154*11.5%)</f>
        <v>0</v>
      </c>
      <c r="AE154" s="25" t="n">
        <v>0</v>
      </c>
      <c r="AF154" s="24" t="n">
        <f aca="false">I154+J154-AE154</f>
        <v>0</v>
      </c>
      <c r="AG154" s="24" t="n">
        <f aca="false">AF154-AD154</f>
        <v>0</v>
      </c>
      <c r="AH154" s="24" t="n">
        <f aca="false">J154+U154-AD154</f>
        <v>0</v>
      </c>
    </row>
    <row r="155" customFormat="false" ht="15" hidden="false" customHeight="false" outlineLevel="0" collapsed="false">
      <c r="A155" s="19"/>
      <c r="B155" s="20"/>
      <c r="C155" s="21"/>
      <c r="D155" s="4"/>
      <c r="F155" s="5"/>
      <c r="G155" s="5"/>
      <c r="H155" s="5"/>
      <c r="I155" s="6"/>
      <c r="J155" s="7"/>
      <c r="K155" s="4"/>
      <c r="L155" s="4"/>
      <c r="M155" s="4"/>
      <c r="Q155" s="22"/>
      <c r="S155" s="23" t="n">
        <v>0</v>
      </c>
      <c r="T155" s="24" t="n">
        <f aca="false">H155*S155</f>
        <v>0</v>
      </c>
      <c r="U155" s="24" t="n">
        <f aca="false">T155-(T155*4.6%)</f>
        <v>0</v>
      </c>
      <c r="V155" s="5" t="n">
        <v>0</v>
      </c>
      <c r="W155" s="24" t="n">
        <f aca="false">I155-V155</f>
        <v>0</v>
      </c>
      <c r="X155" s="24" t="n">
        <f aca="false">W155-U155</f>
        <v>0</v>
      </c>
      <c r="Y155" s="23" t="n">
        <v>0</v>
      </c>
      <c r="Z155" s="24" t="n">
        <f aca="false">G155*Y155</f>
        <v>0</v>
      </c>
      <c r="AA155" s="23" t="n">
        <v>0</v>
      </c>
      <c r="AB155" s="24" t="n">
        <f aca="false">J155*AA155</f>
        <v>0</v>
      </c>
      <c r="AC155" s="24" t="n">
        <f aca="false">Z155+AB155</f>
        <v>0</v>
      </c>
      <c r="AD155" s="24" t="n">
        <f aca="false">AC155-(AC155*11.5%)</f>
        <v>0</v>
      </c>
      <c r="AE155" s="25" t="n">
        <v>0</v>
      </c>
      <c r="AF155" s="24" t="n">
        <f aca="false">I155+J155-AE155</f>
        <v>0</v>
      </c>
      <c r="AG155" s="24" t="n">
        <f aca="false">AF155-AD155</f>
        <v>0</v>
      </c>
      <c r="AH155" s="24" t="n">
        <f aca="false">J155+U155-AD155</f>
        <v>0</v>
      </c>
    </row>
    <row r="156" customFormat="false" ht="15" hidden="false" customHeight="false" outlineLevel="0" collapsed="false">
      <c r="A156" s="19"/>
      <c r="B156" s="20"/>
      <c r="C156" s="21"/>
      <c r="D156" s="4"/>
      <c r="F156" s="5"/>
      <c r="G156" s="5"/>
      <c r="H156" s="5"/>
      <c r="I156" s="6"/>
      <c r="J156" s="7"/>
      <c r="K156" s="4"/>
      <c r="L156" s="4"/>
      <c r="M156" s="4"/>
      <c r="Q156" s="22"/>
      <c r="S156" s="23" t="n">
        <v>0</v>
      </c>
      <c r="T156" s="24" t="n">
        <f aca="false">H156*S156</f>
        <v>0</v>
      </c>
      <c r="U156" s="24" t="n">
        <f aca="false">T156-(T156*4.6%)</f>
        <v>0</v>
      </c>
      <c r="V156" s="5" t="n">
        <v>0</v>
      </c>
      <c r="W156" s="24" t="n">
        <f aca="false">I156-V156</f>
        <v>0</v>
      </c>
      <c r="X156" s="24" t="n">
        <f aca="false">W156-U156</f>
        <v>0</v>
      </c>
      <c r="Y156" s="23" t="n">
        <v>0</v>
      </c>
      <c r="Z156" s="24" t="n">
        <f aca="false">G156*Y156</f>
        <v>0</v>
      </c>
      <c r="AA156" s="23" t="n">
        <v>0</v>
      </c>
      <c r="AB156" s="24" t="n">
        <f aca="false">J156*AA156</f>
        <v>0</v>
      </c>
      <c r="AC156" s="24" t="n">
        <f aca="false">Z156+AB156</f>
        <v>0</v>
      </c>
      <c r="AD156" s="24" t="n">
        <f aca="false">AC156-(AC156*11.5%)</f>
        <v>0</v>
      </c>
      <c r="AE156" s="25" t="n">
        <v>0</v>
      </c>
      <c r="AF156" s="24" t="n">
        <f aca="false">I156+J156-AE156</f>
        <v>0</v>
      </c>
      <c r="AG156" s="24" t="n">
        <f aca="false">AF156-AD156</f>
        <v>0</v>
      </c>
      <c r="AH156" s="24" t="n">
        <f aca="false">J156+U156-AD156</f>
        <v>0</v>
      </c>
    </row>
    <row r="157" customFormat="false" ht="15" hidden="false" customHeight="false" outlineLevel="0" collapsed="false">
      <c r="A157" s="19"/>
      <c r="B157" s="20"/>
      <c r="C157" s="21"/>
      <c r="D157" s="4"/>
      <c r="F157" s="5"/>
      <c r="G157" s="5"/>
      <c r="H157" s="5"/>
      <c r="I157" s="6"/>
      <c r="J157" s="7"/>
      <c r="K157" s="4"/>
      <c r="L157" s="4"/>
      <c r="M157" s="4"/>
      <c r="Q157" s="22"/>
      <c r="S157" s="23" t="n">
        <v>0</v>
      </c>
      <c r="T157" s="24" t="n">
        <f aca="false">H157*S157</f>
        <v>0</v>
      </c>
      <c r="U157" s="24" t="n">
        <f aca="false">T157-(T157*4.6%)</f>
        <v>0</v>
      </c>
      <c r="V157" s="5" t="n">
        <v>0</v>
      </c>
      <c r="W157" s="24" t="n">
        <f aca="false">I157-V157</f>
        <v>0</v>
      </c>
      <c r="X157" s="24" t="n">
        <f aca="false">W157-U157</f>
        <v>0</v>
      </c>
      <c r="Y157" s="23" t="n">
        <v>0</v>
      </c>
      <c r="Z157" s="24" t="n">
        <f aca="false">G157*Y157</f>
        <v>0</v>
      </c>
      <c r="AA157" s="23" t="n">
        <v>0</v>
      </c>
      <c r="AB157" s="24" t="n">
        <f aca="false">J157*AA157</f>
        <v>0</v>
      </c>
      <c r="AC157" s="24" t="n">
        <f aca="false">Z157+AB157</f>
        <v>0</v>
      </c>
      <c r="AD157" s="24" t="n">
        <f aca="false">AC157-(AC157*11.5%)</f>
        <v>0</v>
      </c>
      <c r="AE157" s="25" t="n">
        <v>0</v>
      </c>
      <c r="AF157" s="24" t="n">
        <f aca="false">I157+J157-AE157</f>
        <v>0</v>
      </c>
      <c r="AG157" s="24" t="n">
        <f aca="false">AF157-AD157</f>
        <v>0</v>
      </c>
      <c r="AH157" s="24" t="n">
        <f aca="false">J157+U157-AD157</f>
        <v>0</v>
      </c>
    </row>
    <row r="158" customFormat="false" ht="15" hidden="false" customHeight="false" outlineLevel="0" collapsed="false">
      <c r="A158" s="19"/>
      <c r="B158" s="20"/>
      <c r="C158" s="21"/>
      <c r="D158" s="4"/>
      <c r="F158" s="5"/>
      <c r="G158" s="5"/>
      <c r="H158" s="5"/>
      <c r="I158" s="6"/>
      <c r="J158" s="7"/>
      <c r="K158" s="4"/>
      <c r="L158" s="4"/>
      <c r="M158" s="4"/>
      <c r="Q158" s="22"/>
      <c r="S158" s="23" t="n">
        <v>0</v>
      </c>
      <c r="T158" s="24" t="n">
        <f aca="false">H158*S158</f>
        <v>0</v>
      </c>
      <c r="U158" s="24" t="n">
        <f aca="false">T158-(T158*4.6%)</f>
        <v>0</v>
      </c>
      <c r="V158" s="5" t="n">
        <v>0</v>
      </c>
      <c r="W158" s="24" t="n">
        <f aca="false">I158-V158</f>
        <v>0</v>
      </c>
      <c r="X158" s="24" t="n">
        <f aca="false">W158-U158</f>
        <v>0</v>
      </c>
      <c r="Y158" s="23" t="n">
        <v>0</v>
      </c>
      <c r="Z158" s="24" t="n">
        <f aca="false">G158*Y158</f>
        <v>0</v>
      </c>
      <c r="AA158" s="23" t="n">
        <v>0</v>
      </c>
      <c r="AB158" s="24" t="n">
        <f aca="false">J158*AA158</f>
        <v>0</v>
      </c>
      <c r="AC158" s="24" t="n">
        <f aca="false">Z158+AB158</f>
        <v>0</v>
      </c>
      <c r="AD158" s="24" t="n">
        <f aca="false">AC158-(AC158*11.5%)</f>
        <v>0</v>
      </c>
      <c r="AE158" s="25" t="n">
        <v>0</v>
      </c>
      <c r="AF158" s="24" t="n">
        <f aca="false">I158+J158-AE158</f>
        <v>0</v>
      </c>
      <c r="AG158" s="24" t="n">
        <f aca="false">AF158-AD158</f>
        <v>0</v>
      </c>
      <c r="AH158" s="24" t="n">
        <f aca="false">J158+U158-AD158</f>
        <v>0</v>
      </c>
    </row>
    <row r="159" customFormat="false" ht="15" hidden="false" customHeight="false" outlineLevel="0" collapsed="false">
      <c r="A159" s="19"/>
      <c r="B159" s="20"/>
      <c r="C159" s="21"/>
      <c r="D159" s="4"/>
      <c r="F159" s="5"/>
      <c r="G159" s="5"/>
      <c r="H159" s="5"/>
      <c r="I159" s="6"/>
      <c r="J159" s="7"/>
      <c r="K159" s="4"/>
      <c r="L159" s="4"/>
      <c r="M159" s="4"/>
      <c r="Q159" s="22"/>
      <c r="S159" s="23" t="n">
        <v>0</v>
      </c>
      <c r="T159" s="24" t="n">
        <f aca="false">H159*S159</f>
        <v>0</v>
      </c>
      <c r="U159" s="24" t="n">
        <f aca="false">T159-(T159*4.6%)</f>
        <v>0</v>
      </c>
      <c r="V159" s="5" t="n">
        <v>0</v>
      </c>
      <c r="W159" s="24" t="n">
        <f aca="false">I159-V159</f>
        <v>0</v>
      </c>
      <c r="X159" s="24" t="n">
        <f aca="false">W159-U159</f>
        <v>0</v>
      </c>
      <c r="Y159" s="23" t="n">
        <v>0</v>
      </c>
      <c r="Z159" s="24" t="n">
        <f aca="false">G159*Y159</f>
        <v>0</v>
      </c>
      <c r="AA159" s="23" t="n">
        <v>0</v>
      </c>
      <c r="AB159" s="24" t="n">
        <f aca="false">J159*AA159</f>
        <v>0</v>
      </c>
      <c r="AC159" s="24" t="n">
        <f aca="false">Z159+AB159</f>
        <v>0</v>
      </c>
      <c r="AD159" s="24" t="n">
        <f aca="false">AC159-(AC159*11.5%)</f>
        <v>0</v>
      </c>
      <c r="AE159" s="25" t="n">
        <v>0</v>
      </c>
      <c r="AF159" s="24" t="n">
        <f aca="false">I159+J159-AE159</f>
        <v>0</v>
      </c>
      <c r="AG159" s="24" t="n">
        <f aca="false">AF159-AD159</f>
        <v>0</v>
      </c>
      <c r="AH159" s="24" t="n">
        <f aca="false">J159+U159-AD159</f>
        <v>0</v>
      </c>
    </row>
    <row r="160" customFormat="false" ht="15" hidden="false" customHeight="false" outlineLevel="0" collapsed="false">
      <c r="A160" s="19"/>
      <c r="B160" s="20"/>
      <c r="C160" s="21"/>
      <c r="D160" s="4"/>
      <c r="F160" s="5"/>
      <c r="G160" s="5"/>
      <c r="H160" s="5"/>
      <c r="I160" s="6"/>
      <c r="J160" s="7"/>
      <c r="K160" s="4"/>
      <c r="L160" s="4"/>
      <c r="M160" s="4"/>
      <c r="Q160" s="22"/>
      <c r="S160" s="23" t="n">
        <v>0</v>
      </c>
      <c r="T160" s="24" t="n">
        <f aca="false">H160*S160</f>
        <v>0</v>
      </c>
      <c r="U160" s="24" t="n">
        <f aca="false">T160-(T160*4.6%)</f>
        <v>0</v>
      </c>
      <c r="V160" s="5" t="n">
        <v>0</v>
      </c>
      <c r="W160" s="24" t="n">
        <f aca="false">I160-V160</f>
        <v>0</v>
      </c>
      <c r="X160" s="24" t="n">
        <f aca="false">W160-U160</f>
        <v>0</v>
      </c>
      <c r="Y160" s="23" t="n">
        <v>0</v>
      </c>
      <c r="Z160" s="24" t="n">
        <f aca="false">G160*Y160</f>
        <v>0</v>
      </c>
      <c r="AA160" s="23" t="n">
        <v>0</v>
      </c>
      <c r="AB160" s="24" t="n">
        <f aca="false">J160*AA160</f>
        <v>0</v>
      </c>
      <c r="AC160" s="24" t="n">
        <f aca="false">Z160+AB160</f>
        <v>0</v>
      </c>
      <c r="AD160" s="24" t="n">
        <f aca="false">AC160-(AC160*11.5%)</f>
        <v>0</v>
      </c>
      <c r="AE160" s="25" t="n">
        <v>0</v>
      </c>
      <c r="AF160" s="24" t="n">
        <f aca="false">I160+J160-AE160</f>
        <v>0</v>
      </c>
      <c r="AG160" s="24" t="n">
        <f aca="false">AF160-AD160</f>
        <v>0</v>
      </c>
      <c r="AH160" s="24" t="n">
        <f aca="false">J160+U160-AD160</f>
        <v>0</v>
      </c>
    </row>
    <row r="161" customFormat="false" ht="15" hidden="false" customHeight="false" outlineLevel="0" collapsed="false">
      <c r="A161" s="19"/>
      <c r="B161" s="20"/>
      <c r="C161" s="21"/>
      <c r="D161" s="4"/>
      <c r="F161" s="5"/>
      <c r="G161" s="5"/>
      <c r="H161" s="5"/>
      <c r="I161" s="6"/>
      <c r="J161" s="7"/>
      <c r="K161" s="4"/>
      <c r="L161" s="4"/>
      <c r="M161" s="4"/>
      <c r="Q161" s="22"/>
      <c r="S161" s="23" t="n">
        <v>0</v>
      </c>
      <c r="T161" s="24" t="n">
        <f aca="false">H161*S161</f>
        <v>0</v>
      </c>
      <c r="U161" s="24" t="n">
        <f aca="false">T161-(T161*4.6%)</f>
        <v>0</v>
      </c>
      <c r="V161" s="5" t="n">
        <v>0</v>
      </c>
      <c r="W161" s="24" t="n">
        <f aca="false">I161-V161</f>
        <v>0</v>
      </c>
      <c r="X161" s="24" t="n">
        <f aca="false">W161-U161</f>
        <v>0</v>
      </c>
      <c r="Y161" s="23" t="n">
        <v>0</v>
      </c>
      <c r="Z161" s="24" t="n">
        <f aca="false">G161*Y161</f>
        <v>0</v>
      </c>
      <c r="AA161" s="23" t="n">
        <v>0</v>
      </c>
      <c r="AB161" s="24" t="n">
        <f aca="false">J161*AA161</f>
        <v>0</v>
      </c>
      <c r="AC161" s="24" t="n">
        <f aca="false">Z161+AB161</f>
        <v>0</v>
      </c>
      <c r="AD161" s="24" t="n">
        <f aca="false">AC161-(AC161*11.5%)</f>
        <v>0</v>
      </c>
      <c r="AE161" s="25" t="n">
        <v>0</v>
      </c>
      <c r="AF161" s="24" t="n">
        <f aca="false">I161+J161-AE161</f>
        <v>0</v>
      </c>
      <c r="AG161" s="24" t="n">
        <f aca="false">AF161-AD161</f>
        <v>0</v>
      </c>
      <c r="AH161" s="24" t="n">
        <f aca="false">J161+U161-AD161</f>
        <v>0</v>
      </c>
    </row>
    <row r="162" customFormat="false" ht="15" hidden="false" customHeight="false" outlineLevel="0" collapsed="false">
      <c r="A162" s="19"/>
      <c r="B162" s="20"/>
      <c r="C162" s="21"/>
      <c r="D162" s="4"/>
      <c r="F162" s="5"/>
      <c r="G162" s="5"/>
      <c r="H162" s="5"/>
      <c r="I162" s="6"/>
      <c r="J162" s="7"/>
      <c r="K162" s="4"/>
      <c r="L162" s="4"/>
      <c r="M162" s="4"/>
      <c r="Q162" s="22"/>
      <c r="S162" s="23" t="n">
        <v>0</v>
      </c>
      <c r="T162" s="24" t="n">
        <f aca="false">H162*S162</f>
        <v>0</v>
      </c>
      <c r="U162" s="24" t="n">
        <f aca="false">T162-(T162*4.6%)</f>
        <v>0</v>
      </c>
      <c r="V162" s="5" t="n">
        <v>0</v>
      </c>
      <c r="W162" s="24" t="n">
        <f aca="false">I162-V162</f>
        <v>0</v>
      </c>
      <c r="X162" s="24" t="n">
        <f aca="false">W162-U162</f>
        <v>0</v>
      </c>
      <c r="Y162" s="23" t="n">
        <v>0</v>
      </c>
      <c r="Z162" s="24" t="n">
        <f aca="false">G162*Y162</f>
        <v>0</v>
      </c>
      <c r="AA162" s="23" t="n">
        <v>0</v>
      </c>
      <c r="AB162" s="24" t="n">
        <f aca="false">J162*AA162</f>
        <v>0</v>
      </c>
      <c r="AC162" s="24" t="n">
        <f aca="false">Z162+AB162</f>
        <v>0</v>
      </c>
      <c r="AD162" s="24" t="n">
        <f aca="false">AC162-(AC162*11.5%)</f>
        <v>0</v>
      </c>
      <c r="AE162" s="25" t="n">
        <v>0</v>
      </c>
      <c r="AF162" s="24" t="n">
        <f aca="false">I162+J162-AE162</f>
        <v>0</v>
      </c>
      <c r="AG162" s="24" t="n">
        <f aca="false">AF162-AD162</f>
        <v>0</v>
      </c>
      <c r="AH162" s="24" t="n">
        <f aca="false">J162+U162-AD162</f>
        <v>0</v>
      </c>
    </row>
    <row r="163" customFormat="false" ht="15" hidden="false" customHeight="false" outlineLevel="0" collapsed="false">
      <c r="A163" s="19"/>
      <c r="B163" s="20"/>
      <c r="C163" s="21"/>
      <c r="D163" s="4"/>
      <c r="F163" s="5"/>
      <c r="G163" s="5"/>
      <c r="H163" s="5"/>
      <c r="I163" s="6"/>
      <c r="J163" s="7"/>
      <c r="K163" s="4"/>
      <c r="L163" s="4"/>
      <c r="M163" s="4"/>
      <c r="Q163" s="22"/>
      <c r="S163" s="23" t="n">
        <v>0</v>
      </c>
      <c r="T163" s="24" t="n">
        <f aca="false">H163*S163</f>
        <v>0</v>
      </c>
      <c r="U163" s="24" t="n">
        <f aca="false">T163-(T163*4.6%)</f>
        <v>0</v>
      </c>
      <c r="V163" s="5" t="n">
        <v>0</v>
      </c>
      <c r="W163" s="24" t="n">
        <f aca="false">I163-V163</f>
        <v>0</v>
      </c>
      <c r="X163" s="24" t="n">
        <f aca="false">W163-U163</f>
        <v>0</v>
      </c>
      <c r="Y163" s="23" t="n">
        <v>0</v>
      </c>
      <c r="Z163" s="24" t="n">
        <f aca="false">G163*Y163</f>
        <v>0</v>
      </c>
      <c r="AA163" s="23" t="n">
        <v>0</v>
      </c>
      <c r="AB163" s="24" t="n">
        <f aca="false">J163*AA163</f>
        <v>0</v>
      </c>
      <c r="AC163" s="24" t="n">
        <f aca="false">Z163+AB163</f>
        <v>0</v>
      </c>
      <c r="AD163" s="24" t="n">
        <f aca="false">AC163-(AC163*11.5%)</f>
        <v>0</v>
      </c>
      <c r="AE163" s="25" t="n">
        <v>0</v>
      </c>
      <c r="AF163" s="24" t="n">
        <f aca="false">I163+J163-AE163</f>
        <v>0</v>
      </c>
      <c r="AG163" s="24" t="n">
        <f aca="false">AF163-AD163</f>
        <v>0</v>
      </c>
      <c r="AH163" s="24" t="n">
        <f aca="false">J163+U163-AD163</f>
        <v>0</v>
      </c>
    </row>
    <row r="164" customFormat="false" ht="15" hidden="false" customHeight="false" outlineLevel="0" collapsed="false">
      <c r="A164" s="19"/>
      <c r="B164" s="20"/>
      <c r="C164" s="21"/>
      <c r="D164" s="4"/>
      <c r="F164" s="5"/>
      <c r="G164" s="5"/>
      <c r="H164" s="5"/>
      <c r="I164" s="6"/>
      <c r="J164" s="7"/>
      <c r="K164" s="4"/>
      <c r="L164" s="4"/>
      <c r="M164" s="4"/>
      <c r="Q164" s="22"/>
      <c r="S164" s="23" t="n">
        <v>0</v>
      </c>
      <c r="T164" s="24" t="n">
        <f aca="false">H164*S164</f>
        <v>0</v>
      </c>
      <c r="U164" s="24" t="n">
        <f aca="false">T164-(T164*4.6%)</f>
        <v>0</v>
      </c>
      <c r="V164" s="5" t="n">
        <v>0</v>
      </c>
      <c r="W164" s="24" t="n">
        <f aca="false">I164-V164</f>
        <v>0</v>
      </c>
      <c r="X164" s="24" t="n">
        <f aca="false">W164-U164</f>
        <v>0</v>
      </c>
      <c r="Y164" s="23" t="n">
        <v>0</v>
      </c>
      <c r="Z164" s="24" t="n">
        <f aca="false">G164*Y164</f>
        <v>0</v>
      </c>
      <c r="AA164" s="23" t="n">
        <v>0</v>
      </c>
      <c r="AB164" s="24" t="n">
        <f aca="false">J164*AA164</f>
        <v>0</v>
      </c>
      <c r="AC164" s="24" t="n">
        <f aca="false">Z164+AB164</f>
        <v>0</v>
      </c>
      <c r="AD164" s="24" t="n">
        <f aca="false">AC164-(AC164*11.5%)</f>
        <v>0</v>
      </c>
      <c r="AE164" s="25" t="n">
        <v>0</v>
      </c>
      <c r="AF164" s="24" t="n">
        <f aca="false">I164+J164-AE164</f>
        <v>0</v>
      </c>
      <c r="AG164" s="24" t="n">
        <f aca="false">AF164-AD164</f>
        <v>0</v>
      </c>
      <c r="AH164" s="24" t="n">
        <f aca="false">J164+U164-AD164</f>
        <v>0</v>
      </c>
    </row>
    <row r="165" customFormat="false" ht="15" hidden="false" customHeight="false" outlineLevel="0" collapsed="false">
      <c r="A165" s="19"/>
      <c r="B165" s="20"/>
      <c r="C165" s="21"/>
      <c r="D165" s="4"/>
      <c r="F165" s="5"/>
      <c r="G165" s="5"/>
      <c r="H165" s="5"/>
      <c r="I165" s="6"/>
      <c r="J165" s="7"/>
      <c r="K165" s="4"/>
      <c r="L165" s="4"/>
      <c r="M165" s="4"/>
      <c r="Q165" s="22"/>
      <c r="S165" s="23" t="n">
        <v>0</v>
      </c>
      <c r="T165" s="24" t="n">
        <f aca="false">H165*S165</f>
        <v>0</v>
      </c>
      <c r="U165" s="24" t="n">
        <f aca="false">T165-(T165*4.6%)</f>
        <v>0</v>
      </c>
      <c r="V165" s="5" t="n">
        <v>0</v>
      </c>
      <c r="W165" s="24" t="n">
        <f aca="false">I165-V165</f>
        <v>0</v>
      </c>
      <c r="X165" s="24" t="n">
        <f aca="false">W165-U165</f>
        <v>0</v>
      </c>
      <c r="Y165" s="23" t="n">
        <v>0</v>
      </c>
      <c r="Z165" s="24" t="n">
        <f aca="false">G165*Y165</f>
        <v>0</v>
      </c>
      <c r="AA165" s="23" t="n">
        <v>0</v>
      </c>
      <c r="AB165" s="24" t="n">
        <f aca="false">J165*AA165</f>
        <v>0</v>
      </c>
      <c r="AC165" s="24" t="n">
        <f aca="false">Z165+AB165</f>
        <v>0</v>
      </c>
      <c r="AD165" s="24" t="n">
        <f aca="false">AC165-(AC165*11.5%)</f>
        <v>0</v>
      </c>
      <c r="AE165" s="25" t="n">
        <v>0</v>
      </c>
      <c r="AF165" s="24" t="n">
        <f aca="false">I165+J165-AE165</f>
        <v>0</v>
      </c>
      <c r="AG165" s="24" t="n">
        <f aca="false">AF165-AD165</f>
        <v>0</v>
      </c>
      <c r="AH165" s="24" t="n">
        <f aca="false">J165+U165-AD165</f>
        <v>0</v>
      </c>
    </row>
    <row r="166" customFormat="false" ht="15" hidden="false" customHeight="false" outlineLevel="0" collapsed="false">
      <c r="A166" s="19"/>
      <c r="B166" s="20"/>
      <c r="C166" s="21"/>
      <c r="D166" s="4"/>
      <c r="F166" s="5"/>
      <c r="G166" s="5"/>
      <c r="H166" s="5"/>
      <c r="I166" s="6"/>
      <c r="J166" s="7"/>
      <c r="K166" s="4"/>
      <c r="L166" s="4"/>
      <c r="M166" s="4"/>
      <c r="Q166" s="22"/>
      <c r="S166" s="23" t="n">
        <v>0</v>
      </c>
      <c r="T166" s="24" t="n">
        <f aca="false">H166*S166</f>
        <v>0</v>
      </c>
      <c r="U166" s="24" t="n">
        <f aca="false">T166-(T166*4.6%)</f>
        <v>0</v>
      </c>
      <c r="V166" s="5" t="n">
        <v>0</v>
      </c>
      <c r="W166" s="24" t="n">
        <f aca="false">I166-V166</f>
        <v>0</v>
      </c>
      <c r="X166" s="24" t="n">
        <f aca="false">W166-U166</f>
        <v>0</v>
      </c>
      <c r="Y166" s="23" t="n">
        <v>0</v>
      </c>
      <c r="Z166" s="24" t="n">
        <f aca="false">G166*Y166</f>
        <v>0</v>
      </c>
      <c r="AA166" s="23" t="n">
        <v>0</v>
      </c>
      <c r="AB166" s="24" t="n">
        <f aca="false">J166*AA166</f>
        <v>0</v>
      </c>
      <c r="AC166" s="24" t="n">
        <f aca="false">Z166+AB166</f>
        <v>0</v>
      </c>
      <c r="AD166" s="24" t="n">
        <f aca="false">AC166-(AC166*11.5%)</f>
        <v>0</v>
      </c>
      <c r="AE166" s="25" t="n">
        <v>0</v>
      </c>
      <c r="AF166" s="24" t="n">
        <f aca="false">I166+J166-AE166</f>
        <v>0</v>
      </c>
      <c r="AG166" s="24" t="n">
        <f aca="false">AF166-AD166</f>
        <v>0</v>
      </c>
      <c r="AH166" s="24" t="n">
        <f aca="false">J166+U166-AD166</f>
        <v>0</v>
      </c>
    </row>
    <row r="167" customFormat="false" ht="15" hidden="false" customHeight="false" outlineLevel="0" collapsed="false">
      <c r="A167" s="19"/>
      <c r="B167" s="20"/>
      <c r="C167" s="21"/>
      <c r="D167" s="4"/>
      <c r="F167" s="5"/>
      <c r="G167" s="5"/>
      <c r="H167" s="5"/>
      <c r="I167" s="6"/>
      <c r="J167" s="7"/>
      <c r="K167" s="4"/>
      <c r="L167" s="4"/>
      <c r="M167" s="4"/>
      <c r="Q167" s="22"/>
      <c r="S167" s="23" t="n">
        <v>0</v>
      </c>
      <c r="T167" s="24" t="n">
        <f aca="false">H167*S167</f>
        <v>0</v>
      </c>
      <c r="U167" s="24" t="n">
        <f aca="false">T167-(T167*4.6%)</f>
        <v>0</v>
      </c>
      <c r="V167" s="5" t="n">
        <v>0</v>
      </c>
      <c r="W167" s="24" t="n">
        <f aca="false">I167-V167</f>
        <v>0</v>
      </c>
      <c r="X167" s="24" t="n">
        <f aca="false">W167-U167</f>
        <v>0</v>
      </c>
      <c r="Y167" s="23" t="n">
        <v>0</v>
      </c>
      <c r="Z167" s="24" t="n">
        <f aca="false">G167*Y167</f>
        <v>0</v>
      </c>
      <c r="AA167" s="23" t="n">
        <v>0</v>
      </c>
      <c r="AB167" s="24" t="n">
        <f aca="false">J167*AA167</f>
        <v>0</v>
      </c>
      <c r="AC167" s="24" t="n">
        <f aca="false">Z167+AB167</f>
        <v>0</v>
      </c>
      <c r="AD167" s="24" t="n">
        <f aca="false">AC167-(AC167*11.5%)</f>
        <v>0</v>
      </c>
      <c r="AE167" s="25" t="n">
        <v>0</v>
      </c>
      <c r="AF167" s="24" t="n">
        <f aca="false">I167+J167-AE167</f>
        <v>0</v>
      </c>
      <c r="AG167" s="24" t="n">
        <f aca="false">AF167-AD167</f>
        <v>0</v>
      </c>
      <c r="AH167" s="24" t="n">
        <f aca="false">J167+U167-AD167</f>
        <v>0</v>
      </c>
    </row>
    <row r="168" customFormat="false" ht="15" hidden="false" customHeight="false" outlineLevel="0" collapsed="false">
      <c r="A168" s="19"/>
      <c r="B168" s="20"/>
      <c r="C168" s="21"/>
      <c r="D168" s="4"/>
      <c r="F168" s="5"/>
      <c r="G168" s="5"/>
      <c r="H168" s="5"/>
      <c r="I168" s="6"/>
      <c r="J168" s="7"/>
      <c r="K168" s="4"/>
      <c r="L168" s="4"/>
      <c r="M168" s="4"/>
      <c r="Q168" s="22"/>
      <c r="S168" s="23" t="n">
        <v>0</v>
      </c>
      <c r="T168" s="24" t="n">
        <f aca="false">H168*S168</f>
        <v>0</v>
      </c>
      <c r="U168" s="24" t="n">
        <f aca="false">T168-(T168*4.6%)</f>
        <v>0</v>
      </c>
      <c r="V168" s="5" t="n">
        <v>0</v>
      </c>
      <c r="W168" s="24" t="n">
        <f aca="false">I168-V168</f>
        <v>0</v>
      </c>
      <c r="X168" s="24" t="n">
        <f aca="false">W168-U168</f>
        <v>0</v>
      </c>
      <c r="Y168" s="23" t="n">
        <v>0</v>
      </c>
      <c r="Z168" s="24" t="n">
        <f aca="false">G168*Y168</f>
        <v>0</v>
      </c>
      <c r="AA168" s="23" t="n">
        <v>0</v>
      </c>
      <c r="AB168" s="24" t="n">
        <f aca="false">J168*AA168</f>
        <v>0</v>
      </c>
      <c r="AC168" s="24" t="n">
        <f aca="false">Z168+AB168</f>
        <v>0</v>
      </c>
      <c r="AD168" s="24" t="n">
        <f aca="false">AC168-(AC168*11.5%)</f>
        <v>0</v>
      </c>
      <c r="AE168" s="25" t="n">
        <v>0</v>
      </c>
      <c r="AF168" s="24" t="n">
        <f aca="false">I168+J168-AE168</f>
        <v>0</v>
      </c>
      <c r="AG168" s="24" t="n">
        <f aca="false">AF168-AD168</f>
        <v>0</v>
      </c>
      <c r="AH168" s="24" t="n">
        <f aca="false">J168+U168-AD168</f>
        <v>0</v>
      </c>
    </row>
    <row r="169" customFormat="false" ht="15" hidden="false" customHeight="false" outlineLevel="0" collapsed="false">
      <c r="A169" s="19"/>
      <c r="B169" s="20"/>
      <c r="C169" s="21"/>
      <c r="D169" s="4"/>
      <c r="F169" s="5"/>
      <c r="G169" s="5"/>
      <c r="H169" s="5"/>
      <c r="I169" s="6"/>
      <c r="J169" s="7"/>
      <c r="K169" s="4"/>
      <c r="L169" s="4"/>
      <c r="M169" s="4"/>
      <c r="Q169" s="22"/>
      <c r="S169" s="23" t="n">
        <v>0</v>
      </c>
      <c r="T169" s="24" t="n">
        <f aca="false">H169*S169</f>
        <v>0</v>
      </c>
      <c r="U169" s="24" t="n">
        <f aca="false">T169-(T169*4.6%)</f>
        <v>0</v>
      </c>
      <c r="V169" s="5" t="n">
        <v>0</v>
      </c>
      <c r="W169" s="24" t="n">
        <f aca="false">I169-V169</f>
        <v>0</v>
      </c>
      <c r="X169" s="24" t="n">
        <f aca="false">W169-U169</f>
        <v>0</v>
      </c>
      <c r="Y169" s="23" t="n">
        <v>0</v>
      </c>
      <c r="Z169" s="24" t="n">
        <f aca="false">G169*Y169</f>
        <v>0</v>
      </c>
      <c r="AA169" s="23" t="n">
        <v>0</v>
      </c>
      <c r="AB169" s="24" t="n">
        <f aca="false">J169*AA169</f>
        <v>0</v>
      </c>
      <c r="AC169" s="24" t="n">
        <f aca="false">Z169+AB169</f>
        <v>0</v>
      </c>
      <c r="AD169" s="24" t="n">
        <f aca="false">AC169-(AC169*11.5%)</f>
        <v>0</v>
      </c>
      <c r="AE169" s="25" t="n">
        <v>0</v>
      </c>
      <c r="AF169" s="24" t="n">
        <f aca="false">I169+J169-AE169</f>
        <v>0</v>
      </c>
      <c r="AG169" s="24" t="n">
        <f aca="false">AF169-AD169</f>
        <v>0</v>
      </c>
      <c r="AH169" s="24" t="n">
        <f aca="false">J169+U169-AD169</f>
        <v>0</v>
      </c>
    </row>
    <row r="170" customFormat="false" ht="15" hidden="false" customHeight="false" outlineLevel="0" collapsed="false">
      <c r="A170" s="19"/>
      <c r="B170" s="20"/>
      <c r="C170" s="21"/>
      <c r="D170" s="4"/>
      <c r="F170" s="5"/>
      <c r="G170" s="5"/>
      <c r="H170" s="5"/>
      <c r="I170" s="6"/>
      <c r="J170" s="7"/>
      <c r="K170" s="4"/>
      <c r="L170" s="4"/>
      <c r="M170" s="4"/>
      <c r="Q170" s="22"/>
      <c r="S170" s="23" t="n">
        <v>0</v>
      </c>
      <c r="T170" s="24" t="n">
        <f aca="false">H170*S170</f>
        <v>0</v>
      </c>
      <c r="U170" s="24" t="n">
        <f aca="false">T170-(T170*4.6%)</f>
        <v>0</v>
      </c>
      <c r="V170" s="5" t="n">
        <v>0</v>
      </c>
      <c r="W170" s="24" t="n">
        <f aca="false">I170-V170</f>
        <v>0</v>
      </c>
      <c r="X170" s="24" t="n">
        <f aca="false">W170-U170</f>
        <v>0</v>
      </c>
      <c r="Y170" s="23" t="n">
        <v>0</v>
      </c>
      <c r="Z170" s="24" t="n">
        <f aca="false">G170*Y170</f>
        <v>0</v>
      </c>
      <c r="AA170" s="23" t="n">
        <v>0</v>
      </c>
      <c r="AB170" s="24" t="n">
        <f aca="false">J170*AA170</f>
        <v>0</v>
      </c>
      <c r="AC170" s="24" t="n">
        <f aca="false">Z170+AB170</f>
        <v>0</v>
      </c>
      <c r="AD170" s="24" t="n">
        <f aca="false">AC170-(AC170*11.5%)</f>
        <v>0</v>
      </c>
      <c r="AE170" s="25" t="n">
        <v>0</v>
      </c>
      <c r="AF170" s="24" t="n">
        <f aca="false">I170+J170-AE170</f>
        <v>0</v>
      </c>
      <c r="AG170" s="24" t="n">
        <f aca="false">AF170-AD170</f>
        <v>0</v>
      </c>
      <c r="AH170" s="24" t="n">
        <f aca="false">J170+U170-AD170</f>
        <v>0</v>
      </c>
    </row>
    <row r="171" customFormat="false" ht="15" hidden="false" customHeight="false" outlineLevel="0" collapsed="false">
      <c r="A171" s="19"/>
      <c r="B171" s="20"/>
      <c r="C171" s="21"/>
      <c r="D171" s="4"/>
      <c r="F171" s="5"/>
      <c r="G171" s="5"/>
      <c r="H171" s="5"/>
      <c r="I171" s="6"/>
      <c r="J171" s="7"/>
      <c r="K171" s="4"/>
      <c r="L171" s="4"/>
      <c r="M171" s="4"/>
      <c r="Q171" s="22"/>
      <c r="S171" s="23" t="n">
        <v>0</v>
      </c>
      <c r="T171" s="24" t="n">
        <f aca="false">H171*S171</f>
        <v>0</v>
      </c>
      <c r="U171" s="24" t="n">
        <f aca="false">T171-(T171*4.6%)</f>
        <v>0</v>
      </c>
      <c r="V171" s="5" t="n">
        <v>0</v>
      </c>
      <c r="W171" s="24" t="n">
        <f aca="false">I171-V171</f>
        <v>0</v>
      </c>
      <c r="X171" s="24" t="n">
        <f aca="false">W171-U171</f>
        <v>0</v>
      </c>
      <c r="Y171" s="23" t="n">
        <v>0</v>
      </c>
      <c r="Z171" s="24" t="n">
        <f aca="false">G171*Y171</f>
        <v>0</v>
      </c>
      <c r="AA171" s="23" t="n">
        <v>0</v>
      </c>
      <c r="AB171" s="24" t="n">
        <f aca="false">J171*AA171</f>
        <v>0</v>
      </c>
      <c r="AC171" s="24" t="n">
        <f aca="false">Z171+AB171</f>
        <v>0</v>
      </c>
      <c r="AD171" s="24" t="n">
        <f aca="false">AC171-(AC171*11.5%)</f>
        <v>0</v>
      </c>
      <c r="AE171" s="25" t="n">
        <v>0</v>
      </c>
      <c r="AF171" s="24" t="n">
        <f aca="false">I171+J171-AE171</f>
        <v>0</v>
      </c>
      <c r="AG171" s="24" t="n">
        <f aca="false">AF171-AD171</f>
        <v>0</v>
      </c>
      <c r="AH171" s="24" t="n">
        <f aca="false">J171+U171-AD171</f>
        <v>0</v>
      </c>
    </row>
    <row r="172" customFormat="false" ht="15" hidden="false" customHeight="false" outlineLevel="0" collapsed="false">
      <c r="A172" s="19"/>
      <c r="B172" s="20"/>
      <c r="C172" s="21"/>
      <c r="D172" s="4"/>
      <c r="F172" s="5"/>
      <c r="G172" s="5"/>
      <c r="H172" s="5"/>
      <c r="I172" s="6"/>
      <c r="J172" s="7"/>
      <c r="K172" s="4"/>
      <c r="L172" s="4"/>
      <c r="M172" s="4"/>
      <c r="Q172" s="22"/>
      <c r="S172" s="23" t="n">
        <v>0</v>
      </c>
      <c r="T172" s="24" t="n">
        <f aca="false">H172*S172</f>
        <v>0</v>
      </c>
      <c r="U172" s="24" t="n">
        <f aca="false">T172-(T172*4.6%)</f>
        <v>0</v>
      </c>
      <c r="V172" s="5" t="n">
        <v>0</v>
      </c>
      <c r="W172" s="24" t="n">
        <f aca="false">I172-V172</f>
        <v>0</v>
      </c>
      <c r="X172" s="24" t="n">
        <f aca="false">W172-U172</f>
        <v>0</v>
      </c>
      <c r="Y172" s="23" t="n">
        <v>0</v>
      </c>
      <c r="Z172" s="24" t="n">
        <f aca="false">G172*Y172</f>
        <v>0</v>
      </c>
      <c r="AA172" s="23" t="n">
        <v>0</v>
      </c>
      <c r="AB172" s="24" t="n">
        <f aca="false">J172*AA172</f>
        <v>0</v>
      </c>
      <c r="AC172" s="24" t="n">
        <f aca="false">Z172+AB172</f>
        <v>0</v>
      </c>
      <c r="AD172" s="24" t="n">
        <f aca="false">AC172-(AC172*11.5%)</f>
        <v>0</v>
      </c>
      <c r="AE172" s="25" t="n">
        <v>0</v>
      </c>
      <c r="AF172" s="24" t="n">
        <f aca="false">I172+J172-AE172</f>
        <v>0</v>
      </c>
      <c r="AG172" s="24" t="n">
        <f aca="false">AF172-AD172</f>
        <v>0</v>
      </c>
      <c r="AH172" s="24" t="n">
        <f aca="false">J172+U172-AD172</f>
        <v>0</v>
      </c>
    </row>
    <row r="173" customFormat="false" ht="15" hidden="false" customHeight="false" outlineLevel="0" collapsed="false">
      <c r="A173" s="19"/>
      <c r="B173" s="20"/>
      <c r="C173" s="21"/>
      <c r="D173" s="4"/>
      <c r="F173" s="5"/>
      <c r="G173" s="5"/>
      <c r="H173" s="5"/>
      <c r="I173" s="6"/>
      <c r="J173" s="7"/>
      <c r="K173" s="4"/>
      <c r="L173" s="4"/>
      <c r="M173" s="4"/>
      <c r="Q173" s="22"/>
      <c r="S173" s="23" t="n">
        <v>0</v>
      </c>
      <c r="T173" s="24" t="n">
        <f aca="false">H173*S173</f>
        <v>0</v>
      </c>
      <c r="U173" s="24" t="n">
        <f aca="false">T173-(T173*4.6%)</f>
        <v>0</v>
      </c>
      <c r="V173" s="5" t="n">
        <v>0</v>
      </c>
      <c r="W173" s="24" t="n">
        <f aca="false">I173-V173</f>
        <v>0</v>
      </c>
      <c r="X173" s="24" t="n">
        <f aca="false">W173-U173</f>
        <v>0</v>
      </c>
      <c r="Y173" s="23" t="n">
        <v>0</v>
      </c>
      <c r="Z173" s="24" t="n">
        <f aca="false">G173*Y173</f>
        <v>0</v>
      </c>
      <c r="AA173" s="23" t="n">
        <v>0</v>
      </c>
      <c r="AB173" s="24" t="n">
        <f aca="false">J173*AA173</f>
        <v>0</v>
      </c>
      <c r="AC173" s="24" t="n">
        <f aca="false">Z173+AB173</f>
        <v>0</v>
      </c>
      <c r="AD173" s="24" t="n">
        <f aca="false">AC173-(AC173*11.5%)</f>
        <v>0</v>
      </c>
      <c r="AE173" s="25" t="n">
        <v>0</v>
      </c>
      <c r="AF173" s="24" t="n">
        <f aca="false">I173+J173-AE173</f>
        <v>0</v>
      </c>
      <c r="AG173" s="24" t="n">
        <f aca="false">AF173-AD173</f>
        <v>0</v>
      </c>
      <c r="AH173" s="24" t="n">
        <f aca="false">J173+U173-AD173</f>
        <v>0</v>
      </c>
    </row>
    <row r="174" customFormat="false" ht="15" hidden="false" customHeight="false" outlineLevel="0" collapsed="false">
      <c r="A174" s="19"/>
      <c r="B174" s="20"/>
      <c r="C174" s="21"/>
      <c r="D174" s="4"/>
      <c r="F174" s="5"/>
      <c r="G174" s="5"/>
      <c r="H174" s="5"/>
      <c r="I174" s="6"/>
      <c r="J174" s="7"/>
      <c r="K174" s="4"/>
      <c r="L174" s="4"/>
      <c r="M174" s="4"/>
      <c r="Q174" s="22"/>
      <c r="S174" s="23" t="n">
        <v>0</v>
      </c>
      <c r="T174" s="24" t="n">
        <f aca="false">H174*S174</f>
        <v>0</v>
      </c>
      <c r="U174" s="24" t="n">
        <f aca="false">T174-(T174*4.6%)</f>
        <v>0</v>
      </c>
      <c r="V174" s="5" t="n">
        <v>0</v>
      </c>
      <c r="W174" s="24" t="n">
        <f aca="false">I174-V174</f>
        <v>0</v>
      </c>
      <c r="X174" s="24" t="n">
        <f aca="false">W174-U174</f>
        <v>0</v>
      </c>
      <c r="Y174" s="23" t="n">
        <v>0</v>
      </c>
      <c r="Z174" s="24" t="n">
        <f aca="false">G174*Y174</f>
        <v>0</v>
      </c>
      <c r="AA174" s="23" t="n">
        <v>0</v>
      </c>
      <c r="AB174" s="24" t="n">
        <f aca="false">J174*AA174</f>
        <v>0</v>
      </c>
      <c r="AC174" s="24" t="n">
        <f aca="false">Z174+AB174</f>
        <v>0</v>
      </c>
      <c r="AD174" s="24" t="n">
        <f aca="false">AC174-(AC174*11.5%)</f>
        <v>0</v>
      </c>
      <c r="AE174" s="25" t="n">
        <v>0</v>
      </c>
      <c r="AF174" s="24" t="n">
        <f aca="false">I174+J174-AE174</f>
        <v>0</v>
      </c>
      <c r="AG174" s="24" t="n">
        <f aca="false">AF174-AD174</f>
        <v>0</v>
      </c>
      <c r="AH174" s="24" t="n">
        <f aca="false">J174+U174-AD174</f>
        <v>0</v>
      </c>
    </row>
    <row r="175" customFormat="false" ht="15" hidden="false" customHeight="false" outlineLevel="0" collapsed="false">
      <c r="A175" s="19"/>
      <c r="B175" s="20"/>
      <c r="C175" s="21"/>
      <c r="D175" s="4"/>
      <c r="F175" s="5"/>
      <c r="G175" s="5"/>
      <c r="H175" s="5"/>
      <c r="I175" s="6"/>
      <c r="J175" s="7"/>
      <c r="K175" s="4"/>
      <c r="L175" s="4"/>
      <c r="M175" s="4"/>
      <c r="Q175" s="22"/>
      <c r="S175" s="23" t="n">
        <v>0</v>
      </c>
      <c r="T175" s="24" t="n">
        <f aca="false">H175*S175</f>
        <v>0</v>
      </c>
      <c r="U175" s="24" t="n">
        <f aca="false">T175-(T175*4.6%)</f>
        <v>0</v>
      </c>
      <c r="V175" s="5" t="n">
        <v>0</v>
      </c>
      <c r="W175" s="24" t="n">
        <f aca="false">I175-V175</f>
        <v>0</v>
      </c>
      <c r="X175" s="24" t="n">
        <f aca="false">W175-U175</f>
        <v>0</v>
      </c>
      <c r="Y175" s="23" t="n">
        <v>0</v>
      </c>
      <c r="Z175" s="24" t="n">
        <f aca="false">G175*Y175</f>
        <v>0</v>
      </c>
      <c r="AA175" s="23" t="n">
        <v>0</v>
      </c>
      <c r="AB175" s="24" t="n">
        <f aca="false">J175*AA175</f>
        <v>0</v>
      </c>
      <c r="AC175" s="24" t="n">
        <f aca="false">Z175+AB175</f>
        <v>0</v>
      </c>
      <c r="AD175" s="24" t="n">
        <f aca="false">AC175-(AC175*11.5%)</f>
        <v>0</v>
      </c>
      <c r="AE175" s="25" t="n">
        <v>0</v>
      </c>
      <c r="AF175" s="24" t="n">
        <f aca="false">I175+J175-AE175</f>
        <v>0</v>
      </c>
      <c r="AG175" s="24" t="n">
        <f aca="false">AF175-AD175</f>
        <v>0</v>
      </c>
      <c r="AH175" s="24" t="n">
        <f aca="false">J175+U175-AD175</f>
        <v>0</v>
      </c>
    </row>
    <row r="176" customFormat="false" ht="15" hidden="false" customHeight="false" outlineLevel="0" collapsed="false">
      <c r="A176" s="19"/>
      <c r="B176" s="20"/>
      <c r="C176" s="21"/>
      <c r="D176" s="4"/>
      <c r="F176" s="5"/>
      <c r="G176" s="5"/>
      <c r="H176" s="5"/>
      <c r="I176" s="6"/>
      <c r="J176" s="7"/>
      <c r="K176" s="4"/>
      <c r="L176" s="4"/>
      <c r="M176" s="4"/>
      <c r="Q176" s="22"/>
      <c r="S176" s="23" t="n">
        <v>0</v>
      </c>
      <c r="T176" s="24" t="n">
        <f aca="false">H176*S176</f>
        <v>0</v>
      </c>
      <c r="U176" s="24" t="n">
        <f aca="false">T176-(T176*4.6%)</f>
        <v>0</v>
      </c>
      <c r="V176" s="5" t="n">
        <v>0</v>
      </c>
      <c r="W176" s="24" t="n">
        <f aca="false">I176-V176</f>
        <v>0</v>
      </c>
      <c r="X176" s="24" t="n">
        <f aca="false">W176-U176</f>
        <v>0</v>
      </c>
      <c r="Y176" s="23" t="n">
        <v>0</v>
      </c>
      <c r="Z176" s="24" t="n">
        <f aca="false">G176*Y176</f>
        <v>0</v>
      </c>
      <c r="AA176" s="23" t="n">
        <v>0</v>
      </c>
      <c r="AB176" s="24" t="n">
        <f aca="false">J176*AA176</f>
        <v>0</v>
      </c>
      <c r="AC176" s="24" t="n">
        <f aca="false">Z176+AB176</f>
        <v>0</v>
      </c>
      <c r="AD176" s="24" t="n">
        <f aca="false">AC176-(AC176*11.5%)</f>
        <v>0</v>
      </c>
      <c r="AE176" s="25" t="n">
        <v>0</v>
      </c>
      <c r="AF176" s="24" t="n">
        <f aca="false">I176+J176-AE176</f>
        <v>0</v>
      </c>
      <c r="AG176" s="24" t="n">
        <f aca="false">AF176-AD176</f>
        <v>0</v>
      </c>
      <c r="AH176" s="24" t="n">
        <f aca="false">J176+U176-AD176</f>
        <v>0</v>
      </c>
    </row>
    <row r="177" customFormat="false" ht="15" hidden="false" customHeight="false" outlineLevel="0" collapsed="false">
      <c r="A177" s="19"/>
      <c r="B177" s="20"/>
      <c r="C177" s="21"/>
      <c r="D177" s="4"/>
      <c r="F177" s="5"/>
      <c r="G177" s="5"/>
      <c r="H177" s="5"/>
      <c r="I177" s="6"/>
      <c r="J177" s="7"/>
      <c r="K177" s="4"/>
      <c r="L177" s="4"/>
      <c r="M177" s="4"/>
      <c r="Q177" s="22"/>
      <c r="S177" s="23" t="n">
        <v>0</v>
      </c>
      <c r="T177" s="24" t="n">
        <f aca="false">H177*S177</f>
        <v>0</v>
      </c>
      <c r="U177" s="24" t="n">
        <f aca="false">T177-(T177*4.6%)</f>
        <v>0</v>
      </c>
      <c r="V177" s="5" t="n">
        <v>0</v>
      </c>
      <c r="W177" s="24" t="n">
        <f aca="false">I177-V177</f>
        <v>0</v>
      </c>
      <c r="X177" s="24" t="n">
        <f aca="false">W177-U177</f>
        <v>0</v>
      </c>
      <c r="Y177" s="23" t="n">
        <v>0</v>
      </c>
      <c r="Z177" s="24" t="n">
        <f aca="false">G177*Y177</f>
        <v>0</v>
      </c>
      <c r="AA177" s="23" t="n">
        <v>0</v>
      </c>
      <c r="AB177" s="24" t="n">
        <f aca="false">J177*AA177</f>
        <v>0</v>
      </c>
      <c r="AC177" s="24" t="n">
        <f aca="false">Z177+AB177</f>
        <v>0</v>
      </c>
      <c r="AD177" s="24" t="n">
        <f aca="false">AC177-(AC177*11.5%)</f>
        <v>0</v>
      </c>
      <c r="AE177" s="25" t="n">
        <v>0</v>
      </c>
      <c r="AF177" s="24" t="n">
        <f aca="false">I177+J177-AE177</f>
        <v>0</v>
      </c>
      <c r="AG177" s="24" t="n">
        <f aca="false">AF177-AD177</f>
        <v>0</v>
      </c>
      <c r="AH177" s="24" t="n">
        <f aca="false">J177+U177-AD177</f>
        <v>0</v>
      </c>
    </row>
    <row r="178" customFormat="false" ht="15" hidden="false" customHeight="false" outlineLevel="0" collapsed="false">
      <c r="A178" s="19"/>
      <c r="B178" s="20"/>
      <c r="C178" s="21"/>
      <c r="D178" s="4"/>
      <c r="F178" s="5"/>
      <c r="G178" s="5"/>
      <c r="H178" s="5"/>
      <c r="I178" s="6"/>
      <c r="J178" s="7"/>
      <c r="K178" s="4"/>
      <c r="L178" s="4"/>
      <c r="M178" s="4"/>
      <c r="Q178" s="22"/>
      <c r="S178" s="23" t="n">
        <v>0</v>
      </c>
      <c r="T178" s="24" t="n">
        <f aca="false">H178*S178</f>
        <v>0</v>
      </c>
      <c r="U178" s="24" t="n">
        <f aca="false">T178-(T178*4.6%)</f>
        <v>0</v>
      </c>
      <c r="V178" s="5" t="n">
        <v>0</v>
      </c>
      <c r="W178" s="24" t="n">
        <f aca="false">I178-V178</f>
        <v>0</v>
      </c>
      <c r="X178" s="24" t="n">
        <f aca="false">W178-U178</f>
        <v>0</v>
      </c>
      <c r="Y178" s="23" t="n">
        <v>0</v>
      </c>
      <c r="Z178" s="24" t="n">
        <f aca="false">G178*Y178</f>
        <v>0</v>
      </c>
      <c r="AA178" s="23" t="n">
        <v>0</v>
      </c>
      <c r="AB178" s="24" t="n">
        <f aca="false">J178*AA178</f>
        <v>0</v>
      </c>
      <c r="AC178" s="24" t="n">
        <f aca="false">Z178+AB178</f>
        <v>0</v>
      </c>
      <c r="AD178" s="24" t="n">
        <f aca="false">AC178-(AC178*11.5%)</f>
        <v>0</v>
      </c>
      <c r="AE178" s="25" t="n">
        <v>0</v>
      </c>
      <c r="AF178" s="24" t="n">
        <f aca="false">I178+J178-AE178</f>
        <v>0</v>
      </c>
      <c r="AG178" s="24" t="n">
        <f aca="false">AF178-AD178</f>
        <v>0</v>
      </c>
      <c r="AH178" s="24" t="n">
        <f aca="false">J178+U178-AD178</f>
        <v>0</v>
      </c>
    </row>
    <row r="179" customFormat="false" ht="15" hidden="false" customHeight="false" outlineLevel="0" collapsed="false">
      <c r="A179" s="19"/>
      <c r="B179" s="20"/>
      <c r="C179" s="21"/>
      <c r="D179" s="4"/>
      <c r="F179" s="5"/>
      <c r="G179" s="5"/>
      <c r="H179" s="5"/>
      <c r="I179" s="6"/>
      <c r="J179" s="7"/>
      <c r="K179" s="4"/>
      <c r="L179" s="4"/>
      <c r="M179" s="4"/>
      <c r="Q179" s="22"/>
      <c r="S179" s="23" t="n">
        <v>0</v>
      </c>
      <c r="T179" s="24" t="n">
        <f aca="false">H179*S179</f>
        <v>0</v>
      </c>
      <c r="U179" s="24" t="n">
        <f aca="false">T179-(T179*4.6%)</f>
        <v>0</v>
      </c>
      <c r="V179" s="5" t="n">
        <v>0</v>
      </c>
      <c r="W179" s="24" t="n">
        <f aca="false">I179-V179</f>
        <v>0</v>
      </c>
      <c r="X179" s="24" t="n">
        <f aca="false">W179-U179</f>
        <v>0</v>
      </c>
      <c r="Y179" s="23" t="n">
        <v>0</v>
      </c>
      <c r="Z179" s="24" t="n">
        <f aca="false">G179*Y179</f>
        <v>0</v>
      </c>
      <c r="AA179" s="23" t="n">
        <v>0</v>
      </c>
      <c r="AB179" s="24" t="n">
        <f aca="false">J179*AA179</f>
        <v>0</v>
      </c>
      <c r="AC179" s="24" t="n">
        <f aca="false">Z179+AB179</f>
        <v>0</v>
      </c>
      <c r="AD179" s="24" t="n">
        <f aca="false">AC179-(AC179*11.5%)</f>
        <v>0</v>
      </c>
      <c r="AE179" s="25" t="n">
        <v>0</v>
      </c>
      <c r="AF179" s="24" t="n">
        <f aca="false">I179+J179-AE179</f>
        <v>0</v>
      </c>
      <c r="AG179" s="24" t="n">
        <f aca="false">AF179-AD179</f>
        <v>0</v>
      </c>
      <c r="AH179" s="24" t="n">
        <f aca="false">J179+U179-AD179</f>
        <v>0</v>
      </c>
    </row>
    <row r="180" customFormat="false" ht="15" hidden="false" customHeight="false" outlineLevel="0" collapsed="false">
      <c r="A180" s="19"/>
      <c r="B180" s="20"/>
      <c r="C180" s="21"/>
      <c r="D180" s="4"/>
      <c r="F180" s="5"/>
      <c r="G180" s="5"/>
      <c r="H180" s="5"/>
      <c r="I180" s="6"/>
      <c r="J180" s="7"/>
      <c r="K180" s="4"/>
      <c r="L180" s="4"/>
      <c r="M180" s="4"/>
      <c r="Q180" s="22"/>
      <c r="S180" s="23" t="n">
        <v>0</v>
      </c>
      <c r="T180" s="24" t="n">
        <f aca="false">H180*S180</f>
        <v>0</v>
      </c>
      <c r="U180" s="24" t="n">
        <f aca="false">T180-(T180*4.6%)</f>
        <v>0</v>
      </c>
      <c r="V180" s="5" t="n">
        <v>0</v>
      </c>
      <c r="W180" s="24" t="n">
        <f aca="false">I180-V180</f>
        <v>0</v>
      </c>
      <c r="X180" s="24" t="n">
        <f aca="false">W180-U180</f>
        <v>0</v>
      </c>
      <c r="Y180" s="23" t="n">
        <v>0</v>
      </c>
      <c r="Z180" s="24" t="n">
        <f aca="false">G180*Y180</f>
        <v>0</v>
      </c>
      <c r="AA180" s="23" t="n">
        <v>0</v>
      </c>
      <c r="AB180" s="24" t="n">
        <f aca="false">J180*AA180</f>
        <v>0</v>
      </c>
      <c r="AC180" s="24" t="n">
        <f aca="false">Z180+AB180</f>
        <v>0</v>
      </c>
      <c r="AD180" s="24" t="n">
        <f aca="false">AC180-(AC180*11.5%)</f>
        <v>0</v>
      </c>
      <c r="AE180" s="25" t="n">
        <v>0</v>
      </c>
      <c r="AF180" s="24" t="n">
        <f aca="false">I180+J180-AE180</f>
        <v>0</v>
      </c>
      <c r="AG180" s="24" t="n">
        <f aca="false">AF180-AD180</f>
        <v>0</v>
      </c>
      <c r="AH180" s="24" t="n">
        <f aca="false">J180+U180-AD180</f>
        <v>0</v>
      </c>
    </row>
    <row r="181" customFormat="false" ht="15" hidden="false" customHeight="false" outlineLevel="0" collapsed="false">
      <c r="A181" s="19"/>
      <c r="B181" s="20"/>
      <c r="C181" s="21"/>
      <c r="D181" s="4"/>
      <c r="F181" s="5"/>
      <c r="G181" s="5"/>
      <c r="H181" s="5"/>
      <c r="I181" s="6"/>
      <c r="J181" s="7"/>
      <c r="K181" s="4"/>
      <c r="L181" s="4"/>
      <c r="M181" s="4"/>
      <c r="Q181" s="22"/>
      <c r="S181" s="23" t="n">
        <v>0</v>
      </c>
      <c r="T181" s="24" t="n">
        <f aca="false">H181*S181</f>
        <v>0</v>
      </c>
      <c r="U181" s="24" t="n">
        <f aca="false">T181-(T181*4.6%)</f>
        <v>0</v>
      </c>
      <c r="V181" s="5" t="n">
        <v>0</v>
      </c>
      <c r="W181" s="24" t="n">
        <f aca="false">I181-V181</f>
        <v>0</v>
      </c>
      <c r="X181" s="24" t="n">
        <f aca="false">W181-U181</f>
        <v>0</v>
      </c>
      <c r="Y181" s="23" t="n">
        <v>0</v>
      </c>
      <c r="Z181" s="24" t="n">
        <f aca="false">G181*Y181</f>
        <v>0</v>
      </c>
      <c r="AA181" s="23" t="n">
        <v>0</v>
      </c>
      <c r="AB181" s="24" t="n">
        <f aca="false">J181*AA181</f>
        <v>0</v>
      </c>
      <c r="AC181" s="24" t="n">
        <f aca="false">Z181+AB181</f>
        <v>0</v>
      </c>
      <c r="AD181" s="24" t="n">
        <f aca="false">AC181-(AC181*11.5%)</f>
        <v>0</v>
      </c>
      <c r="AE181" s="25" t="n">
        <v>0</v>
      </c>
      <c r="AF181" s="24" t="n">
        <f aca="false">I181+J181-AE181</f>
        <v>0</v>
      </c>
      <c r="AG181" s="24" t="n">
        <f aca="false">AF181-AD181</f>
        <v>0</v>
      </c>
      <c r="AH181" s="24" t="n">
        <f aca="false">J181+U181-AD181</f>
        <v>0</v>
      </c>
    </row>
    <row r="182" customFormat="false" ht="15" hidden="false" customHeight="false" outlineLevel="0" collapsed="false">
      <c r="A182" s="19"/>
      <c r="B182" s="20"/>
      <c r="C182" s="21"/>
      <c r="D182" s="4"/>
      <c r="F182" s="5"/>
      <c r="G182" s="5"/>
      <c r="H182" s="5"/>
      <c r="I182" s="6"/>
      <c r="J182" s="7"/>
      <c r="K182" s="4"/>
      <c r="L182" s="4"/>
      <c r="M182" s="4"/>
      <c r="Q182" s="22"/>
      <c r="S182" s="23" t="n">
        <v>0</v>
      </c>
      <c r="T182" s="24" t="n">
        <f aca="false">H182*S182</f>
        <v>0</v>
      </c>
      <c r="U182" s="24" t="n">
        <f aca="false">T182-(T182*4.6%)</f>
        <v>0</v>
      </c>
      <c r="V182" s="5" t="n">
        <v>0</v>
      </c>
      <c r="W182" s="24" t="n">
        <f aca="false">I182-V182</f>
        <v>0</v>
      </c>
      <c r="X182" s="24" t="n">
        <f aca="false">W182-U182</f>
        <v>0</v>
      </c>
      <c r="Y182" s="23" t="n">
        <v>0</v>
      </c>
      <c r="Z182" s="24" t="n">
        <f aca="false">G182*Y182</f>
        <v>0</v>
      </c>
      <c r="AA182" s="23" t="n">
        <v>0</v>
      </c>
      <c r="AB182" s="24" t="n">
        <f aca="false">J182*AA182</f>
        <v>0</v>
      </c>
      <c r="AC182" s="24" t="n">
        <f aca="false">Z182+AB182</f>
        <v>0</v>
      </c>
      <c r="AD182" s="24" t="n">
        <f aca="false">AC182-(AC182*11.5%)</f>
        <v>0</v>
      </c>
      <c r="AE182" s="25" t="n">
        <v>0</v>
      </c>
      <c r="AF182" s="24" t="n">
        <f aca="false">I182+J182-AE182</f>
        <v>0</v>
      </c>
      <c r="AG182" s="24" t="n">
        <f aca="false">AF182-AD182</f>
        <v>0</v>
      </c>
      <c r="AH182" s="24" t="n">
        <f aca="false">J182+U182-AD182</f>
        <v>0</v>
      </c>
    </row>
    <row r="183" customFormat="false" ht="15" hidden="false" customHeight="false" outlineLevel="0" collapsed="false">
      <c r="A183" s="19"/>
      <c r="B183" s="20"/>
      <c r="C183" s="21"/>
      <c r="D183" s="4"/>
      <c r="F183" s="5"/>
      <c r="G183" s="5"/>
      <c r="H183" s="5"/>
      <c r="I183" s="6"/>
      <c r="J183" s="7"/>
      <c r="K183" s="4"/>
      <c r="L183" s="4"/>
      <c r="M183" s="4"/>
      <c r="Q183" s="22"/>
      <c r="S183" s="23" t="n">
        <v>0</v>
      </c>
      <c r="T183" s="24" t="n">
        <f aca="false">H183*S183</f>
        <v>0</v>
      </c>
      <c r="U183" s="24" t="n">
        <f aca="false">T183-(T183*4.6%)</f>
        <v>0</v>
      </c>
      <c r="V183" s="5" t="n">
        <v>0</v>
      </c>
      <c r="W183" s="24" t="n">
        <f aca="false">I183-V183</f>
        <v>0</v>
      </c>
      <c r="X183" s="24" t="n">
        <f aca="false">W183-U183</f>
        <v>0</v>
      </c>
      <c r="Y183" s="23" t="n">
        <v>0</v>
      </c>
      <c r="Z183" s="24" t="n">
        <f aca="false">G183*Y183</f>
        <v>0</v>
      </c>
      <c r="AA183" s="23" t="n">
        <v>0</v>
      </c>
      <c r="AB183" s="24" t="n">
        <f aca="false">J183*AA183</f>
        <v>0</v>
      </c>
      <c r="AC183" s="24" t="n">
        <f aca="false">Z183+AB183</f>
        <v>0</v>
      </c>
      <c r="AD183" s="24" t="n">
        <f aca="false">AC183-(AC183*11.5%)</f>
        <v>0</v>
      </c>
      <c r="AE183" s="25" t="n">
        <v>0</v>
      </c>
      <c r="AF183" s="24" t="n">
        <f aca="false">I183+J183-AE183</f>
        <v>0</v>
      </c>
      <c r="AG183" s="24" t="n">
        <f aca="false">AF183-AD183</f>
        <v>0</v>
      </c>
      <c r="AH183" s="24" t="n">
        <f aca="false">J183+U183-AD183</f>
        <v>0</v>
      </c>
    </row>
    <row r="184" customFormat="false" ht="15" hidden="false" customHeight="false" outlineLevel="0" collapsed="false">
      <c r="A184" s="19"/>
      <c r="B184" s="20"/>
      <c r="C184" s="21"/>
      <c r="D184" s="4"/>
      <c r="F184" s="5"/>
      <c r="G184" s="5"/>
      <c r="H184" s="5"/>
      <c r="I184" s="6"/>
      <c r="J184" s="7"/>
      <c r="K184" s="4"/>
      <c r="L184" s="4"/>
      <c r="M184" s="4"/>
      <c r="Q184" s="22"/>
      <c r="S184" s="23" t="n">
        <v>0</v>
      </c>
      <c r="T184" s="24" t="n">
        <f aca="false">H184*S184</f>
        <v>0</v>
      </c>
      <c r="U184" s="24" t="n">
        <f aca="false">T184-(T184*4.6%)</f>
        <v>0</v>
      </c>
      <c r="V184" s="5" t="n">
        <v>0</v>
      </c>
      <c r="W184" s="24" t="n">
        <f aca="false">I184-V184</f>
        <v>0</v>
      </c>
      <c r="X184" s="24" t="n">
        <f aca="false">W184-U184</f>
        <v>0</v>
      </c>
      <c r="Y184" s="23" t="n">
        <v>0</v>
      </c>
      <c r="Z184" s="24" t="n">
        <f aca="false">G184*Y184</f>
        <v>0</v>
      </c>
      <c r="AA184" s="23" t="n">
        <v>0</v>
      </c>
      <c r="AB184" s="24" t="n">
        <f aca="false">J184*AA184</f>
        <v>0</v>
      </c>
      <c r="AC184" s="24" t="n">
        <f aca="false">Z184+AB184</f>
        <v>0</v>
      </c>
      <c r="AD184" s="24" t="n">
        <f aca="false">AC184-(AC184*11.5%)</f>
        <v>0</v>
      </c>
      <c r="AE184" s="25" t="n">
        <v>0</v>
      </c>
      <c r="AF184" s="24" t="n">
        <f aca="false">I184+J184-AE184</f>
        <v>0</v>
      </c>
      <c r="AG184" s="24" t="n">
        <f aca="false">AF184-AD184</f>
        <v>0</v>
      </c>
      <c r="AH184" s="24" t="n">
        <f aca="false">J184+U184-AD184</f>
        <v>0</v>
      </c>
    </row>
    <row r="185" customFormat="false" ht="15" hidden="false" customHeight="false" outlineLevel="0" collapsed="false">
      <c r="A185" s="19"/>
      <c r="B185" s="20"/>
      <c r="C185" s="21"/>
      <c r="D185" s="4"/>
      <c r="F185" s="5"/>
      <c r="G185" s="5"/>
      <c r="H185" s="5"/>
      <c r="I185" s="6"/>
      <c r="J185" s="7"/>
      <c r="K185" s="4"/>
      <c r="L185" s="4"/>
      <c r="M185" s="4"/>
      <c r="Q185" s="22"/>
      <c r="S185" s="23" t="n">
        <v>0</v>
      </c>
      <c r="T185" s="24" t="n">
        <f aca="false">H185*S185</f>
        <v>0</v>
      </c>
      <c r="U185" s="24" t="n">
        <f aca="false">T185-(T185*4.6%)</f>
        <v>0</v>
      </c>
      <c r="V185" s="5" t="n">
        <v>0</v>
      </c>
      <c r="W185" s="24" t="n">
        <f aca="false">I185-V185</f>
        <v>0</v>
      </c>
      <c r="X185" s="24" t="n">
        <f aca="false">W185-U185</f>
        <v>0</v>
      </c>
      <c r="Y185" s="23" t="n">
        <v>0</v>
      </c>
      <c r="Z185" s="24" t="n">
        <f aca="false">G185*Y185</f>
        <v>0</v>
      </c>
      <c r="AA185" s="23" t="n">
        <v>0</v>
      </c>
      <c r="AB185" s="24" t="n">
        <f aca="false">J185*AA185</f>
        <v>0</v>
      </c>
      <c r="AC185" s="24" t="n">
        <f aca="false">Z185+AB185</f>
        <v>0</v>
      </c>
      <c r="AD185" s="24" t="n">
        <f aca="false">AC185-(AC185*11.5%)</f>
        <v>0</v>
      </c>
      <c r="AE185" s="25" t="n">
        <v>0</v>
      </c>
      <c r="AF185" s="24" t="n">
        <f aca="false">I185+J185-AE185</f>
        <v>0</v>
      </c>
      <c r="AG185" s="24" t="n">
        <f aca="false">AF185-AD185</f>
        <v>0</v>
      </c>
      <c r="AH185" s="24" t="n">
        <f aca="false">J185+U185-AD185</f>
        <v>0</v>
      </c>
    </row>
    <row r="186" customFormat="false" ht="15" hidden="false" customHeight="false" outlineLevel="0" collapsed="false">
      <c r="A186" s="19"/>
      <c r="B186" s="20"/>
      <c r="C186" s="21"/>
      <c r="D186" s="4"/>
      <c r="F186" s="5"/>
      <c r="G186" s="5"/>
      <c r="H186" s="5"/>
      <c r="I186" s="6"/>
      <c r="J186" s="7"/>
      <c r="K186" s="4"/>
      <c r="L186" s="4"/>
      <c r="M186" s="4"/>
      <c r="Q186" s="22"/>
      <c r="S186" s="23" t="n">
        <v>0</v>
      </c>
      <c r="T186" s="24" t="n">
        <f aca="false">H186*S186</f>
        <v>0</v>
      </c>
      <c r="U186" s="24" t="n">
        <f aca="false">T186-(T186*4.6%)</f>
        <v>0</v>
      </c>
      <c r="V186" s="5" t="n">
        <v>0</v>
      </c>
      <c r="W186" s="24" t="n">
        <f aca="false">I186-V186</f>
        <v>0</v>
      </c>
      <c r="X186" s="24" t="n">
        <f aca="false">W186-U186</f>
        <v>0</v>
      </c>
      <c r="Y186" s="23" t="n">
        <v>0</v>
      </c>
      <c r="Z186" s="24" t="n">
        <f aca="false">G186*Y186</f>
        <v>0</v>
      </c>
      <c r="AA186" s="23" t="n">
        <v>0</v>
      </c>
      <c r="AB186" s="24" t="n">
        <f aca="false">J186*AA186</f>
        <v>0</v>
      </c>
      <c r="AC186" s="24" t="n">
        <f aca="false">Z186+AB186</f>
        <v>0</v>
      </c>
      <c r="AD186" s="24" t="n">
        <f aca="false">AC186-(AC186*11.5%)</f>
        <v>0</v>
      </c>
      <c r="AE186" s="25" t="n">
        <v>0</v>
      </c>
      <c r="AF186" s="24" t="n">
        <f aca="false">I186+J186-AE186</f>
        <v>0</v>
      </c>
      <c r="AG186" s="24" t="n">
        <f aca="false">AF186-AD186</f>
        <v>0</v>
      </c>
      <c r="AH186" s="24" t="n">
        <f aca="false">J186+U186-AD186</f>
        <v>0</v>
      </c>
    </row>
    <row r="187" customFormat="false" ht="15" hidden="false" customHeight="false" outlineLevel="0" collapsed="false">
      <c r="A187" s="19"/>
      <c r="B187" s="20"/>
      <c r="C187" s="21"/>
      <c r="D187" s="4"/>
      <c r="F187" s="5"/>
      <c r="G187" s="5"/>
      <c r="H187" s="5"/>
      <c r="I187" s="6"/>
      <c r="J187" s="7"/>
      <c r="K187" s="4"/>
      <c r="L187" s="4"/>
      <c r="M187" s="4"/>
      <c r="Q187" s="22"/>
      <c r="S187" s="23" t="n">
        <v>0</v>
      </c>
      <c r="T187" s="24" t="n">
        <f aca="false">H187*S187</f>
        <v>0</v>
      </c>
      <c r="U187" s="24" t="n">
        <f aca="false">T187-(T187*4.6%)</f>
        <v>0</v>
      </c>
      <c r="V187" s="5" t="n">
        <v>0</v>
      </c>
      <c r="W187" s="24" t="n">
        <f aca="false">I187-V187</f>
        <v>0</v>
      </c>
      <c r="X187" s="24" t="n">
        <f aca="false">W187-U187</f>
        <v>0</v>
      </c>
      <c r="Y187" s="23" t="n">
        <v>0</v>
      </c>
      <c r="Z187" s="24" t="n">
        <f aca="false">G187*Y187</f>
        <v>0</v>
      </c>
      <c r="AA187" s="23" t="n">
        <v>0</v>
      </c>
      <c r="AB187" s="24" t="n">
        <f aca="false">J187*AA187</f>
        <v>0</v>
      </c>
      <c r="AC187" s="24" t="n">
        <f aca="false">Z187+AB187</f>
        <v>0</v>
      </c>
      <c r="AD187" s="24" t="n">
        <f aca="false">AC187-(AC187*11.5%)</f>
        <v>0</v>
      </c>
      <c r="AE187" s="25" t="n">
        <v>0</v>
      </c>
      <c r="AF187" s="24" t="n">
        <f aca="false">I187+J187-AE187</f>
        <v>0</v>
      </c>
      <c r="AG187" s="24" t="n">
        <f aca="false">AF187-AD187</f>
        <v>0</v>
      </c>
      <c r="AH187" s="24" t="n">
        <f aca="false">J187+U187-AD187</f>
        <v>0</v>
      </c>
    </row>
    <row r="188" customFormat="false" ht="15" hidden="false" customHeight="false" outlineLevel="0" collapsed="false">
      <c r="A188" s="19"/>
      <c r="B188" s="20"/>
      <c r="C188" s="21"/>
      <c r="D188" s="4"/>
      <c r="F188" s="5"/>
      <c r="G188" s="5"/>
      <c r="H188" s="5"/>
      <c r="I188" s="6"/>
      <c r="J188" s="7"/>
      <c r="K188" s="4"/>
      <c r="L188" s="4"/>
      <c r="M188" s="4"/>
      <c r="Q188" s="22"/>
      <c r="S188" s="23" t="n">
        <v>0</v>
      </c>
      <c r="T188" s="24" t="n">
        <f aca="false">H188*S188</f>
        <v>0</v>
      </c>
      <c r="U188" s="24" t="n">
        <f aca="false">T188-(T188*4.6%)</f>
        <v>0</v>
      </c>
      <c r="V188" s="5" t="n">
        <v>0</v>
      </c>
      <c r="W188" s="24" t="n">
        <f aca="false">I188-V188</f>
        <v>0</v>
      </c>
      <c r="X188" s="24" t="n">
        <f aca="false">W188-U188</f>
        <v>0</v>
      </c>
      <c r="Y188" s="23" t="n">
        <v>0</v>
      </c>
      <c r="Z188" s="24" t="n">
        <f aca="false">G188*Y188</f>
        <v>0</v>
      </c>
      <c r="AA188" s="23" t="n">
        <v>0</v>
      </c>
      <c r="AB188" s="24" t="n">
        <f aca="false">J188*AA188</f>
        <v>0</v>
      </c>
      <c r="AC188" s="24" t="n">
        <f aca="false">Z188+AB188</f>
        <v>0</v>
      </c>
      <c r="AD188" s="24" t="n">
        <f aca="false">AC188-(AC188*11.5%)</f>
        <v>0</v>
      </c>
      <c r="AE188" s="25" t="n">
        <v>0</v>
      </c>
      <c r="AF188" s="24" t="n">
        <f aca="false">I188+J188-AE188</f>
        <v>0</v>
      </c>
      <c r="AG188" s="24" t="n">
        <f aca="false">AF188-AD188</f>
        <v>0</v>
      </c>
      <c r="AH188" s="24" t="n">
        <f aca="false">J188+U188-AD188</f>
        <v>0</v>
      </c>
    </row>
    <row r="189" customFormat="false" ht="15" hidden="false" customHeight="false" outlineLevel="0" collapsed="false">
      <c r="A189" s="19"/>
      <c r="B189" s="20"/>
      <c r="C189" s="21"/>
      <c r="D189" s="4"/>
      <c r="F189" s="5"/>
      <c r="G189" s="5"/>
      <c r="H189" s="5"/>
      <c r="I189" s="6"/>
      <c r="J189" s="7"/>
      <c r="K189" s="4"/>
      <c r="L189" s="4"/>
      <c r="M189" s="4"/>
      <c r="Q189" s="22"/>
      <c r="S189" s="23" t="n">
        <v>0</v>
      </c>
      <c r="T189" s="24" t="n">
        <f aca="false">H189*S189</f>
        <v>0</v>
      </c>
      <c r="U189" s="24" t="n">
        <f aca="false">T189-(T189*4.6%)</f>
        <v>0</v>
      </c>
      <c r="V189" s="5" t="n">
        <v>0</v>
      </c>
      <c r="W189" s="24" t="n">
        <f aca="false">I189-V189</f>
        <v>0</v>
      </c>
      <c r="X189" s="24" t="n">
        <f aca="false">W189-U189</f>
        <v>0</v>
      </c>
      <c r="Y189" s="23" t="n">
        <v>0</v>
      </c>
      <c r="Z189" s="24" t="n">
        <f aca="false">G189*Y189</f>
        <v>0</v>
      </c>
      <c r="AA189" s="23" t="n">
        <v>0</v>
      </c>
      <c r="AB189" s="24" t="n">
        <f aca="false">J189*AA189</f>
        <v>0</v>
      </c>
      <c r="AC189" s="24" t="n">
        <f aca="false">Z189+AB189</f>
        <v>0</v>
      </c>
      <c r="AD189" s="24" t="n">
        <f aca="false">AC189-(AC189*11.5%)</f>
        <v>0</v>
      </c>
      <c r="AE189" s="25" t="n">
        <v>0</v>
      </c>
      <c r="AF189" s="24" t="n">
        <f aca="false">I189+J189-AE189</f>
        <v>0</v>
      </c>
      <c r="AG189" s="24" t="n">
        <f aca="false">AF189-AD189</f>
        <v>0</v>
      </c>
      <c r="AH189" s="24" t="n">
        <f aca="false">J189+U189-AD189</f>
        <v>0</v>
      </c>
    </row>
    <row r="190" customFormat="false" ht="15" hidden="false" customHeight="false" outlineLevel="0" collapsed="false">
      <c r="A190" s="19"/>
      <c r="B190" s="20"/>
      <c r="C190" s="21"/>
      <c r="D190" s="4"/>
      <c r="F190" s="5"/>
      <c r="G190" s="5"/>
      <c r="H190" s="5"/>
      <c r="I190" s="6"/>
      <c r="J190" s="7"/>
      <c r="K190" s="4"/>
      <c r="L190" s="4"/>
      <c r="M190" s="4"/>
      <c r="Q190" s="22"/>
      <c r="S190" s="23" t="n">
        <v>0</v>
      </c>
      <c r="T190" s="24" t="n">
        <f aca="false">H190*S190</f>
        <v>0</v>
      </c>
      <c r="U190" s="24" t="n">
        <f aca="false">T190-(T190*4.6%)</f>
        <v>0</v>
      </c>
      <c r="V190" s="5" t="n">
        <v>0</v>
      </c>
      <c r="W190" s="24" t="n">
        <f aca="false">I190-V190</f>
        <v>0</v>
      </c>
      <c r="X190" s="24" t="n">
        <f aca="false">W190-U190</f>
        <v>0</v>
      </c>
      <c r="Y190" s="23" t="n">
        <v>0</v>
      </c>
      <c r="Z190" s="24" t="n">
        <f aca="false">G190*Y190</f>
        <v>0</v>
      </c>
      <c r="AA190" s="23" t="n">
        <v>0</v>
      </c>
      <c r="AB190" s="24" t="n">
        <f aca="false">J190*AA190</f>
        <v>0</v>
      </c>
      <c r="AC190" s="24" t="n">
        <f aca="false">Z190+AB190</f>
        <v>0</v>
      </c>
      <c r="AD190" s="24" t="n">
        <f aca="false">AC190-(AC190*11.5%)</f>
        <v>0</v>
      </c>
      <c r="AE190" s="25" t="n">
        <v>0</v>
      </c>
      <c r="AF190" s="24" t="n">
        <f aca="false">I190+J190-AE190</f>
        <v>0</v>
      </c>
      <c r="AG190" s="24" t="n">
        <f aca="false">AF190-AD190</f>
        <v>0</v>
      </c>
      <c r="AH190" s="24" t="n">
        <f aca="false">J190+U190-AD190</f>
        <v>0</v>
      </c>
    </row>
    <row r="191" customFormat="false" ht="15" hidden="false" customHeight="false" outlineLevel="0" collapsed="false">
      <c r="A191" s="19"/>
      <c r="B191" s="20"/>
      <c r="C191" s="21"/>
      <c r="D191" s="4"/>
      <c r="F191" s="5"/>
      <c r="G191" s="5"/>
      <c r="H191" s="5"/>
      <c r="I191" s="6"/>
      <c r="J191" s="7"/>
      <c r="K191" s="4"/>
      <c r="L191" s="4"/>
      <c r="M191" s="4"/>
      <c r="Q191" s="22"/>
      <c r="S191" s="23" t="n">
        <v>0</v>
      </c>
      <c r="T191" s="24" t="n">
        <f aca="false">H191*S191</f>
        <v>0</v>
      </c>
      <c r="U191" s="24" t="n">
        <f aca="false">T191-(T191*4.6%)</f>
        <v>0</v>
      </c>
      <c r="V191" s="5" t="n">
        <v>0</v>
      </c>
      <c r="W191" s="24" t="n">
        <f aca="false">I191-V191</f>
        <v>0</v>
      </c>
      <c r="X191" s="24" t="n">
        <f aca="false">W191-U191</f>
        <v>0</v>
      </c>
      <c r="Y191" s="23" t="n">
        <v>0</v>
      </c>
      <c r="Z191" s="24" t="n">
        <f aca="false">G191*Y191</f>
        <v>0</v>
      </c>
      <c r="AA191" s="23" t="n">
        <v>0</v>
      </c>
      <c r="AB191" s="24" t="n">
        <f aca="false">J191*AA191</f>
        <v>0</v>
      </c>
      <c r="AC191" s="24" t="n">
        <f aca="false">Z191+AB191</f>
        <v>0</v>
      </c>
      <c r="AD191" s="24" t="n">
        <f aca="false">AC191-(AC191*11.5%)</f>
        <v>0</v>
      </c>
      <c r="AE191" s="25" t="n">
        <v>0</v>
      </c>
      <c r="AF191" s="24" t="n">
        <f aca="false">I191+J191-AE191</f>
        <v>0</v>
      </c>
      <c r="AG191" s="24" t="n">
        <f aca="false">AF191-AD191</f>
        <v>0</v>
      </c>
      <c r="AH191" s="24" t="n">
        <f aca="false">J191+U191-AD191</f>
        <v>0</v>
      </c>
    </row>
    <row r="192" customFormat="false" ht="15" hidden="false" customHeight="false" outlineLevel="0" collapsed="false">
      <c r="A192" s="19"/>
      <c r="B192" s="20"/>
      <c r="C192" s="21"/>
      <c r="D192" s="4"/>
      <c r="F192" s="5"/>
      <c r="G192" s="5"/>
      <c r="H192" s="5"/>
      <c r="I192" s="6"/>
      <c r="J192" s="7"/>
      <c r="K192" s="4"/>
      <c r="L192" s="4"/>
      <c r="M192" s="4"/>
      <c r="Q192" s="22"/>
      <c r="S192" s="23" t="n">
        <v>0</v>
      </c>
      <c r="T192" s="24" t="n">
        <f aca="false">H192*S192</f>
        <v>0</v>
      </c>
      <c r="U192" s="24" t="n">
        <f aca="false">T192-(T192*4.6%)</f>
        <v>0</v>
      </c>
      <c r="V192" s="5" t="n">
        <v>0</v>
      </c>
      <c r="W192" s="24" t="n">
        <f aca="false">I192-V192</f>
        <v>0</v>
      </c>
      <c r="X192" s="24" t="n">
        <f aca="false">W192-U192</f>
        <v>0</v>
      </c>
      <c r="Y192" s="23" t="n">
        <v>0</v>
      </c>
      <c r="Z192" s="24" t="n">
        <f aca="false">G192*Y192</f>
        <v>0</v>
      </c>
      <c r="AA192" s="23" t="n">
        <v>0</v>
      </c>
      <c r="AB192" s="24" t="n">
        <f aca="false">J192*AA192</f>
        <v>0</v>
      </c>
      <c r="AC192" s="24" t="n">
        <f aca="false">Z192+AB192</f>
        <v>0</v>
      </c>
      <c r="AD192" s="24" t="n">
        <f aca="false">AC192-(AC192*11.5%)</f>
        <v>0</v>
      </c>
      <c r="AE192" s="25" t="n">
        <v>0</v>
      </c>
      <c r="AF192" s="24" t="n">
        <f aca="false">I192+J192-AE192</f>
        <v>0</v>
      </c>
      <c r="AG192" s="24" t="n">
        <f aca="false">AF192-AD192</f>
        <v>0</v>
      </c>
      <c r="AH192" s="24" t="n">
        <f aca="false">J192+U192-AD192</f>
        <v>0</v>
      </c>
    </row>
    <row r="193" customFormat="false" ht="15" hidden="false" customHeight="false" outlineLevel="0" collapsed="false">
      <c r="A193" s="19"/>
      <c r="B193" s="20"/>
      <c r="C193" s="21"/>
      <c r="D193" s="4"/>
      <c r="F193" s="5"/>
      <c r="G193" s="5"/>
      <c r="H193" s="5"/>
      <c r="I193" s="6"/>
      <c r="J193" s="7"/>
      <c r="K193" s="4"/>
      <c r="L193" s="4"/>
      <c r="M193" s="4"/>
      <c r="Q193" s="22"/>
      <c r="S193" s="23" t="n">
        <v>0</v>
      </c>
      <c r="T193" s="24" t="n">
        <f aca="false">H193*S193</f>
        <v>0</v>
      </c>
      <c r="U193" s="24" t="n">
        <f aca="false">T193-(T193*4.6%)</f>
        <v>0</v>
      </c>
      <c r="V193" s="5" t="n">
        <v>0</v>
      </c>
      <c r="W193" s="24" t="n">
        <f aca="false">I193-V193</f>
        <v>0</v>
      </c>
      <c r="X193" s="24" t="n">
        <f aca="false">W193-U193</f>
        <v>0</v>
      </c>
      <c r="Y193" s="23" t="n">
        <v>0</v>
      </c>
      <c r="Z193" s="24" t="n">
        <f aca="false">G193*Y193</f>
        <v>0</v>
      </c>
      <c r="AA193" s="23" t="n">
        <v>0</v>
      </c>
      <c r="AB193" s="24" t="n">
        <f aca="false">J193*AA193</f>
        <v>0</v>
      </c>
      <c r="AC193" s="24" t="n">
        <f aca="false">Z193+AB193</f>
        <v>0</v>
      </c>
      <c r="AD193" s="24" t="n">
        <f aca="false">AC193-(AC193*11.5%)</f>
        <v>0</v>
      </c>
      <c r="AE193" s="25" t="n">
        <v>0</v>
      </c>
      <c r="AF193" s="24" t="n">
        <f aca="false">I193+J193-AE193</f>
        <v>0</v>
      </c>
      <c r="AG193" s="24" t="n">
        <f aca="false">AF193-AD193</f>
        <v>0</v>
      </c>
      <c r="AH193" s="24" t="n">
        <f aca="false">J193+U193-AD193</f>
        <v>0</v>
      </c>
    </row>
    <row r="194" customFormat="false" ht="15" hidden="false" customHeight="false" outlineLevel="0" collapsed="false">
      <c r="A194" s="19"/>
      <c r="B194" s="20"/>
      <c r="C194" s="21"/>
      <c r="D194" s="4"/>
      <c r="F194" s="5"/>
      <c r="G194" s="5"/>
      <c r="H194" s="5"/>
      <c r="I194" s="6"/>
      <c r="J194" s="7"/>
      <c r="K194" s="4"/>
      <c r="L194" s="4"/>
      <c r="M194" s="4"/>
      <c r="Q194" s="22"/>
      <c r="S194" s="23" t="n">
        <v>0</v>
      </c>
      <c r="T194" s="24" t="n">
        <f aca="false">H194*S194</f>
        <v>0</v>
      </c>
      <c r="U194" s="24" t="n">
        <f aca="false">T194-(T194*4.6%)</f>
        <v>0</v>
      </c>
      <c r="V194" s="5" t="n">
        <v>0</v>
      </c>
      <c r="W194" s="24" t="n">
        <f aca="false">I194-V194</f>
        <v>0</v>
      </c>
      <c r="X194" s="24" t="n">
        <f aca="false">W194-U194</f>
        <v>0</v>
      </c>
      <c r="Y194" s="23" t="n">
        <v>0</v>
      </c>
      <c r="Z194" s="24" t="n">
        <f aca="false">G194*Y194</f>
        <v>0</v>
      </c>
      <c r="AA194" s="23" t="n">
        <v>0</v>
      </c>
      <c r="AB194" s="24" t="n">
        <f aca="false">J194*AA194</f>
        <v>0</v>
      </c>
      <c r="AC194" s="24" t="n">
        <f aca="false">Z194+AB194</f>
        <v>0</v>
      </c>
      <c r="AD194" s="24" t="n">
        <f aca="false">AC194-(AC194*11.5%)</f>
        <v>0</v>
      </c>
      <c r="AE194" s="25" t="n">
        <v>0</v>
      </c>
      <c r="AF194" s="24" t="n">
        <f aca="false">I194+J194-AE194</f>
        <v>0</v>
      </c>
      <c r="AG194" s="24" t="n">
        <f aca="false">AF194-AD194</f>
        <v>0</v>
      </c>
      <c r="AH194" s="24" t="n">
        <f aca="false">J194+U194-AD194</f>
        <v>0</v>
      </c>
    </row>
    <row r="195" customFormat="false" ht="15" hidden="false" customHeight="false" outlineLevel="0" collapsed="false">
      <c r="A195" s="19"/>
      <c r="B195" s="20"/>
      <c r="C195" s="21"/>
      <c r="D195" s="4"/>
      <c r="F195" s="5"/>
      <c r="G195" s="5"/>
      <c r="H195" s="5"/>
      <c r="I195" s="6"/>
      <c r="J195" s="7"/>
      <c r="K195" s="4"/>
      <c r="L195" s="4"/>
      <c r="M195" s="4"/>
      <c r="Q195" s="22"/>
      <c r="S195" s="23" t="n">
        <v>0</v>
      </c>
      <c r="T195" s="24" t="n">
        <f aca="false">H195*S195</f>
        <v>0</v>
      </c>
      <c r="U195" s="24" t="n">
        <f aca="false">T195-(T195*4.6%)</f>
        <v>0</v>
      </c>
      <c r="V195" s="5" t="n">
        <v>0</v>
      </c>
      <c r="W195" s="24" t="n">
        <f aca="false">I195-V195</f>
        <v>0</v>
      </c>
      <c r="X195" s="24" t="n">
        <f aca="false">W195-U195</f>
        <v>0</v>
      </c>
      <c r="Y195" s="23" t="n">
        <v>0</v>
      </c>
      <c r="Z195" s="24" t="n">
        <f aca="false">G195*Y195</f>
        <v>0</v>
      </c>
      <c r="AA195" s="23" t="n">
        <v>0</v>
      </c>
      <c r="AB195" s="24" t="n">
        <f aca="false">J195*AA195</f>
        <v>0</v>
      </c>
      <c r="AC195" s="24" t="n">
        <f aca="false">Z195+AB195</f>
        <v>0</v>
      </c>
      <c r="AD195" s="24" t="n">
        <f aca="false">AC195-(AC195*11.5%)</f>
        <v>0</v>
      </c>
      <c r="AE195" s="25" t="n">
        <v>0</v>
      </c>
      <c r="AF195" s="24" t="n">
        <f aca="false">I195+J195-AE195</f>
        <v>0</v>
      </c>
      <c r="AG195" s="24" t="n">
        <f aca="false">AF195-AD195</f>
        <v>0</v>
      </c>
      <c r="AH195" s="24" t="n">
        <f aca="false">J195+U195-AD195</f>
        <v>0</v>
      </c>
    </row>
    <row r="196" customFormat="false" ht="15" hidden="false" customHeight="false" outlineLevel="0" collapsed="false">
      <c r="A196" s="19"/>
      <c r="B196" s="20"/>
      <c r="C196" s="21"/>
      <c r="D196" s="4"/>
      <c r="F196" s="5"/>
      <c r="G196" s="5"/>
      <c r="H196" s="5"/>
      <c r="I196" s="6"/>
      <c r="J196" s="7"/>
      <c r="K196" s="4"/>
      <c r="L196" s="4"/>
      <c r="M196" s="4"/>
      <c r="Q196" s="22"/>
      <c r="S196" s="23" t="n">
        <v>0</v>
      </c>
      <c r="T196" s="24" t="n">
        <f aca="false">H196*S196</f>
        <v>0</v>
      </c>
      <c r="U196" s="24" t="n">
        <f aca="false">T196-(T196*4.6%)</f>
        <v>0</v>
      </c>
      <c r="V196" s="5" t="n">
        <v>0</v>
      </c>
      <c r="W196" s="24" t="n">
        <f aca="false">I196-V196</f>
        <v>0</v>
      </c>
      <c r="X196" s="24" t="n">
        <f aca="false">W196-U196</f>
        <v>0</v>
      </c>
      <c r="Y196" s="23" t="n">
        <v>0</v>
      </c>
      <c r="Z196" s="24" t="n">
        <f aca="false">G196*Y196</f>
        <v>0</v>
      </c>
      <c r="AA196" s="23" t="n">
        <v>0</v>
      </c>
      <c r="AB196" s="24" t="n">
        <f aca="false">J196*AA196</f>
        <v>0</v>
      </c>
      <c r="AC196" s="24" t="n">
        <f aca="false">Z196+AB196</f>
        <v>0</v>
      </c>
      <c r="AD196" s="24" t="n">
        <f aca="false">AC196-(AC196*11.5%)</f>
        <v>0</v>
      </c>
      <c r="AE196" s="25" t="n">
        <v>0</v>
      </c>
      <c r="AF196" s="24" t="n">
        <f aca="false">I196+J196-AE196</f>
        <v>0</v>
      </c>
      <c r="AG196" s="24" t="n">
        <f aca="false">AF196-AD196</f>
        <v>0</v>
      </c>
      <c r="AH196" s="24" t="n">
        <f aca="false">J196+U196-AD196</f>
        <v>0</v>
      </c>
    </row>
    <row r="197" customFormat="false" ht="15" hidden="false" customHeight="false" outlineLevel="0" collapsed="false">
      <c r="A197" s="19"/>
      <c r="B197" s="20"/>
      <c r="C197" s="21"/>
      <c r="D197" s="4"/>
      <c r="F197" s="5"/>
      <c r="G197" s="5"/>
      <c r="H197" s="5"/>
      <c r="I197" s="6"/>
      <c r="J197" s="7"/>
      <c r="K197" s="4"/>
      <c r="L197" s="4"/>
      <c r="M197" s="4"/>
      <c r="Q197" s="22"/>
      <c r="S197" s="23" t="n">
        <v>0</v>
      </c>
      <c r="T197" s="24" t="n">
        <f aca="false">H197*S197</f>
        <v>0</v>
      </c>
      <c r="U197" s="24" t="n">
        <f aca="false">T197-(T197*4.6%)</f>
        <v>0</v>
      </c>
      <c r="V197" s="5" t="n">
        <v>0</v>
      </c>
      <c r="W197" s="24" t="n">
        <f aca="false">I197-V197</f>
        <v>0</v>
      </c>
      <c r="X197" s="24" t="n">
        <f aca="false">W197-U197</f>
        <v>0</v>
      </c>
      <c r="Y197" s="23" t="n">
        <v>0</v>
      </c>
      <c r="Z197" s="24" t="n">
        <f aca="false">G197*Y197</f>
        <v>0</v>
      </c>
      <c r="AA197" s="23" t="n">
        <v>0</v>
      </c>
      <c r="AB197" s="24" t="n">
        <f aca="false">J197*AA197</f>
        <v>0</v>
      </c>
      <c r="AC197" s="24" t="n">
        <f aca="false">Z197+AB197</f>
        <v>0</v>
      </c>
      <c r="AD197" s="24" t="n">
        <f aca="false">AC197-(AC197*11.5%)</f>
        <v>0</v>
      </c>
      <c r="AE197" s="25" t="n">
        <v>0</v>
      </c>
      <c r="AF197" s="24" t="n">
        <f aca="false">I197+J197-AE197</f>
        <v>0</v>
      </c>
      <c r="AG197" s="24" t="n">
        <f aca="false">AF197-AD197</f>
        <v>0</v>
      </c>
      <c r="AH197" s="24" t="n">
        <f aca="false">J197+U197-AD197</f>
        <v>0</v>
      </c>
    </row>
    <row r="198" customFormat="false" ht="15" hidden="false" customHeight="false" outlineLevel="0" collapsed="false">
      <c r="A198" s="19"/>
      <c r="B198" s="20"/>
      <c r="C198" s="21"/>
      <c r="D198" s="4"/>
      <c r="F198" s="5"/>
      <c r="G198" s="5"/>
      <c r="H198" s="5"/>
      <c r="I198" s="6"/>
      <c r="J198" s="7"/>
      <c r="K198" s="4"/>
      <c r="L198" s="4"/>
      <c r="M198" s="4"/>
      <c r="Q198" s="22"/>
      <c r="S198" s="23" t="n">
        <v>0</v>
      </c>
      <c r="T198" s="24" t="n">
        <f aca="false">H198*S198</f>
        <v>0</v>
      </c>
      <c r="U198" s="24" t="n">
        <f aca="false">T198-(T198*4.6%)</f>
        <v>0</v>
      </c>
      <c r="V198" s="5" t="n">
        <v>0</v>
      </c>
      <c r="W198" s="24" t="n">
        <f aca="false">I198-V198</f>
        <v>0</v>
      </c>
      <c r="X198" s="24" t="n">
        <f aca="false">W198-U198</f>
        <v>0</v>
      </c>
      <c r="Y198" s="23" t="n">
        <v>0</v>
      </c>
      <c r="Z198" s="24" t="n">
        <f aca="false">G198*Y198</f>
        <v>0</v>
      </c>
      <c r="AA198" s="23" t="n">
        <v>0</v>
      </c>
      <c r="AB198" s="24" t="n">
        <f aca="false">J198*AA198</f>
        <v>0</v>
      </c>
      <c r="AC198" s="24" t="n">
        <f aca="false">Z198+AB198</f>
        <v>0</v>
      </c>
      <c r="AD198" s="24" t="n">
        <f aca="false">AC198-(AC198*11.5%)</f>
        <v>0</v>
      </c>
      <c r="AE198" s="25" t="n">
        <v>0</v>
      </c>
      <c r="AF198" s="24" t="n">
        <f aca="false">I198+J198-AE198</f>
        <v>0</v>
      </c>
      <c r="AG198" s="24" t="n">
        <f aca="false">AF198-AD198</f>
        <v>0</v>
      </c>
      <c r="AH198" s="24" t="n">
        <f aca="false">J198+U198-AD198</f>
        <v>0</v>
      </c>
    </row>
    <row r="199" customFormat="false" ht="15" hidden="false" customHeight="false" outlineLevel="0" collapsed="false">
      <c r="A199" s="19"/>
      <c r="B199" s="20"/>
      <c r="C199" s="21"/>
      <c r="D199" s="4"/>
      <c r="F199" s="5"/>
      <c r="G199" s="5"/>
      <c r="H199" s="5"/>
      <c r="I199" s="6"/>
      <c r="J199" s="7"/>
      <c r="K199" s="4"/>
      <c r="L199" s="4"/>
      <c r="M199" s="4"/>
      <c r="Q199" s="22"/>
      <c r="S199" s="23" t="n">
        <v>0</v>
      </c>
      <c r="T199" s="24" t="n">
        <f aca="false">H199*S199</f>
        <v>0</v>
      </c>
      <c r="U199" s="24" t="n">
        <f aca="false">T199-(T199*4.6%)</f>
        <v>0</v>
      </c>
      <c r="V199" s="5" t="n">
        <v>0</v>
      </c>
      <c r="W199" s="24" t="n">
        <f aca="false">I199-V199</f>
        <v>0</v>
      </c>
      <c r="X199" s="24" t="n">
        <f aca="false">W199-U199</f>
        <v>0</v>
      </c>
      <c r="Y199" s="23" t="n">
        <v>0</v>
      </c>
      <c r="Z199" s="24" t="n">
        <f aca="false">G199*Y199</f>
        <v>0</v>
      </c>
      <c r="AA199" s="23" t="n">
        <v>0</v>
      </c>
      <c r="AB199" s="24" t="n">
        <f aca="false">J199*AA199</f>
        <v>0</v>
      </c>
      <c r="AC199" s="24" t="n">
        <f aca="false">Z199+AB199</f>
        <v>0</v>
      </c>
      <c r="AD199" s="24" t="n">
        <f aca="false">AC199-(AC199*11.5%)</f>
        <v>0</v>
      </c>
      <c r="AE199" s="25" t="n">
        <v>0</v>
      </c>
      <c r="AF199" s="24" t="n">
        <f aca="false">I199+J199-AE199</f>
        <v>0</v>
      </c>
      <c r="AG199" s="24" t="n">
        <f aca="false">AF199-AD199</f>
        <v>0</v>
      </c>
      <c r="AH199" s="24" t="n">
        <f aca="false">J199+U199-AD199</f>
        <v>0</v>
      </c>
    </row>
    <row r="200" customFormat="false" ht="15" hidden="false" customHeight="false" outlineLevel="0" collapsed="false">
      <c r="A200" s="19"/>
      <c r="B200" s="20"/>
      <c r="C200" s="21"/>
      <c r="D200" s="4"/>
      <c r="F200" s="5"/>
      <c r="G200" s="5"/>
      <c r="H200" s="5"/>
      <c r="I200" s="6"/>
      <c r="J200" s="7"/>
      <c r="K200" s="4"/>
      <c r="L200" s="4"/>
      <c r="M200" s="4"/>
      <c r="Q200" s="22"/>
      <c r="S200" s="23" t="n">
        <v>0</v>
      </c>
      <c r="T200" s="24" t="n">
        <f aca="false">H200*S200</f>
        <v>0</v>
      </c>
      <c r="U200" s="24" t="n">
        <f aca="false">T200-(T200*4.6%)</f>
        <v>0</v>
      </c>
      <c r="V200" s="5" t="n">
        <v>0</v>
      </c>
      <c r="W200" s="24" t="n">
        <f aca="false">I200-V200</f>
        <v>0</v>
      </c>
      <c r="X200" s="24" t="n">
        <f aca="false">W200-U200</f>
        <v>0</v>
      </c>
      <c r="Y200" s="23" t="n">
        <v>0</v>
      </c>
      <c r="Z200" s="24" t="n">
        <f aca="false">G200*Y200</f>
        <v>0</v>
      </c>
      <c r="AA200" s="23" t="n">
        <v>0</v>
      </c>
      <c r="AB200" s="24" t="n">
        <f aca="false">J200*AA200</f>
        <v>0</v>
      </c>
      <c r="AC200" s="24" t="n">
        <f aca="false">Z200+AB200</f>
        <v>0</v>
      </c>
      <c r="AD200" s="24" t="n">
        <f aca="false">AC200-(AC200*11.5%)</f>
        <v>0</v>
      </c>
      <c r="AE200" s="25" t="n">
        <v>0</v>
      </c>
      <c r="AF200" s="24" t="n">
        <f aca="false">I200+J200-AE200</f>
        <v>0</v>
      </c>
      <c r="AG200" s="24" t="n">
        <f aca="false">AF200-AD200</f>
        <v>0</v>
      </c>
      <c r="AH200" s="24" t="n">
        <f aca="false">J200+U200-AD200</f>
        <v>0</v>
      </c>
    </row>
    <row r="201" customFormat="false" ht="15" hidden="false" customHeight="false" outlineLevel="0" collapsed="false">
      <c r="A201" s="19"/>
      <c r="B201" s="20"/>
      <c r="C201" s="21"/>
      <c r="D201" s="4"/>
      <c r="F201" s="5"/>
      <c r="G201" s="5"/>
      <c r="H201" s="5"/>
      <c r="I201" s="6"/>
      <c r="J201" s="7"/>
      <c r="K201" s="4"/>
      <c r="L201" s="4"/>
      <c r="M201" s="4"/>
      <c r="Q201" s="22"/>
      <c r="S201" s="23" t="n">
        <v>0</v>
      </c>
      <c r="T201" s="24" t="n">
        <f aca="false">H201*S201</f>
        <v>0</v>
      </c>
      <c r="U201" s="24" t="n">
        <f aca="false">T201-(T201*4.6%)</f>
        <v>0</v>
      </c>
      <c r="V201" s="5" t="n">
        <v>0</v>
      </c>
      <c r="W201" s="24" t="n">
        <f aca="false">I201-V201</f>
        <v>0</v>
      </c>
      <c r="X201" s="24" t="n">
        <f aca="false">W201-U201</f>
        <v>0</v>
      </c>
      <c r="Y201" s="23" t="n">
        <v>0</v>
      </c>
      <c r="Z201" s="24" t="n">
        <f aca="false">G201*Y201</f>
        <v>0</v>
      </c>
      <c r="AA201" s="23" t="n">
        <v>0</v>
      </c>
      <c r="AB201" s="24" t="n">
        <f aca="false">J201*AA201</f>
        <v>0</v>
      </c>
      <c r="AC201" s="24" t="n">
        <f aca="false">Z201+AB201</f>
        <v>0</v>
      </c>
      <c r="AD201" s="24" t="n">
        <f aca="false">AC201-(AC201*11.5%)</f>
        <v>0</v>
      </c>
      <c r="AE201" s="25" t="n">
        <v>0</v>
      </c>
      <c r="AF201" s="24" t="n">
        <f aca="false">I201+J201-AE201</f>
        <v>0</v>
      </c>
      <c r="AG201" s="24" t="n">
        <f aca="false">AF201-AD201</f>
        <v>0</v>
      </c>
      <c r="AH201" s="24" t="n">
        <f aca="false">J201+U201-AD201</f>
        <v>0</v>
      </c>
    </row>
    <row r="202" customFormat="false" ht="15" hidden="false" customHeight="false" outlineLevel="0" collapsed="false">
      <c r="A202" s="19"/>
      <c r="B202" s="20"/>
      <c r="C202" s="21"/>
      <c r="D202" s="4"/>
      <c r="F202" s="5"/>
      <c r="G202" s="5"/>
      <c r="H202" s="5"/>
      <c r="I202" s="6"/>
      <c r="J202" s="7"/>
      <c r="K202" s="4"/>
      <c r="L202" s="4"/>
      <c r="M202" s="4"/>
      <c r="Q202" s="22"/>
      <c r="S202" s="23" t="n">
        <v>0</v>
      </c>
      <c r="T202" s="24" t="n">
        <f aca="false">H202*S202</f>
        <v>0</v>
      </c>
      <c r="U202" s="24" t="n">
        <f aca="false">T202-(T202*4.6%)</f>
        <v>0</v>
      </c>
      <c r="V202" s="5" t="n">
        <v>0</v>
      </c>
      <c r="W202" s="24" t="n">
        <f aca="false">I202-V202</f>
        <v>0</v>
      </c>
      <c r="X202" s="24" t="n">
        <f aca="false">W202-U202</f>
        <v>0</v>
      </c>
      <c r="Y202" s="23" t="n">
        <v>0</v>
      </c>
      <c r="Z202" s="24" t="n">
        <f aca="false">G202*Y202</f>
        <v>0</v>
      </c>
      <c r="AA202" s="23" t="n">
        <v>0</v>
      </c>
      <c r="AB202" s="24" t="n">
        <f aca="false">J202*AA202</f>
        <v>0</v>
      </c>
      <c r="AC202" s="24" t="n">
        <f aca="false">Z202+AB202</f>
        <v>0</v>
      </c>
      <c r="AD202" s="24" t="n">
        <f aca="false">AC202-(AC202*11.5%)</f>
        <v>0</v>
      </c>
      <c r="AE202" s="25" t="n">
        <v>0</v>
      </c>
      <c r="AF202" s="24" t="n">
        <f aca="false">I202+J202-AE202</f>
        <v>0</v>
      </c>
      <c r="AG202" s="24" t="n">
        <f aca="false">AF202-AD202</f>
        <v>0</v>
      </c>
      <c r="AH202" s="24" t="n">
        <f aca="false">J202+U202-AD202</f>
        <v>0</v>
      </c>
    </row>
    <row r="203" customFormat="false" ht="15" hidden="false" customHeight="false" outlineLevel="0" collapsed="false">
      <c r="A203" s="19"/>
      <c r="B203" s="20"/>
      <c r="C203" s="21"/>
      <c r="D203" s="4"/>
      <c r="F203" s="5"/>
      <c r="G203" s="5"/>
      <c r="H203" s="5"/>
      <c r="I203" s="6"/>
      <c r="J203" s="7"/>
      <c r="K203" s="4"/>
      <c r="L203" s="4"/>
      <c r="M203" s="4"/>
      <c r="Q203" s="22"/>
      <c r="S203" s="23" t="n">
        <v>0</v>
      </c>
      <c r="T203" s="24" t="n">
        <f aca="false">H203*S203</f>
        <v>0</v>
      </c>
      <c r="U203" s="24" t="n">
        <f aca="false">T203-(T203*4.6%)</f>
        <v>0</v>
      </c>
      <c r="V203" s="5" t="n">
        <v>0</v>
      </c>
      <c r="W203" s="24" t="n">
        <f aca="false">I203-V203</f>
        <v>0</v>
      </c>
      <c r="X203" s="24" t="n">
        <f aca="false">W203-U203</f>
        <v>0</v>
      </c>
      <c r="Y203" s="23" t="n">
        <v>0</v>
      </c>
      <c r="Z203" s="24" t="n">
        <f aca="false">G203*Y203</f>
        <v>0</v>
      </c>
      <c r="AA203" s="23" t="n">
        <v>0</v>
      </c>
      <c r="AB203" s="24" t="n">
        <f aca="false">J203*AA203</f>
        <v>0</v>
      </c>
      <c r="AC203" s="24" t="n">
        <f aca="false">Z203+AB203</f>
        <v>0</v>
      </c>
      <c r="AD203" s="24" t="n">
        <f aca="false">AC203-(AC203*11.5%)</f>
        <v>0</v>
      </c>
      <c r="AE203" s="25" t="n">
        <v>0</v>
      </c>
      <c r="AF203" s="24" t="n">
        <f aca="false">I203+J203-AE203</f>
        <v>0</v>
      </c>
      <c r="AG203" s="24" t="n">
        <f aca="false">AF203-AD203</f>
        <v>0</v>
      </c>
      <c r="AH203" s="24" t="n">
        <f aca="false">J203+U203-AD203</f>
        <v>0</v>
      </c>
    </row>
    <row r="204" customFormat="false" ht="15" hidden="false" customHeight="false" outlineLevel="0" collapsed="false">
      <c r="A204" s="19"/>
      <c r="B204" s="20"/>
      <c r="C204" s="21"/>
      <c r="D204" s="4"/>
      <c r="F204" s="5"/>
      <c r="G204" s="5"/>
      <c r="H204" s="5"/>
      <c r="I204" s="6"/>
      <c r="J204" s="7"/>
      <c r="K204" s="4"/>
      <c r="L204" s="4"/>
      <c r="M204" s="4"/>
      <c r="Q204" s="22"/>
      <c r="S204" s="23" t="n">
        <v>0</v>
      </c>
      <c r="T204" s="24" t="n">
        <f aca="false">H204*S204</f>
        <v>0</v>
      </c>
      <c r="U204" s="24" t="n">
        <f aca="false">T204-(T204*4.6%)</f>
        <v>0</v>
      </c>
      <c r="V204" s="5" t="n">
        <v>0</v>
      </c>
      <c r="W204" s="24" t="n">
        <f aca="false">I204-V204</f>
        <v>0</v>
      </c>
      <c r="X204" s="24" t="n">
        <f aca="false">W204-U204</f>
        <v>0</v>
      </c>
      <c r="Y204" s="23" t="n">
        <v>0</v>
      </c>
      <c r="Z204" s="24" t="n">
        <f aca="false">G204*Y204</f>
        <v>0</v>
      </c>
      <c r="AA204" s="23" t="n">
        <v>0</v>
      </c>
      <c r="AB204" s="24" t="n">
        <f aca="false">J204*AA204</f>
        <v>0</v>
      </c>
      <c r="AC204" s="24" t="n">
        <f aca="false">Z204+AB204</f>
        <v>0</v>
      </c>
      <c r="AD204" s="24" t="n">
        <f aca="false">AC204-(AC204*11.5%)</f>
        <v>0</v>
      </c>
      <c r="AE204" s="25" t="n">
        <v>0</v>
      </c>
      <c r="AF204" s="24" t="n">
        <f aca="false">I204+J204-AE204</f>
        <v>0</v>
      </c>
      <c r="AG204" s="24" t="n">
        <f aca="false">AF204-AD204</f>
        <v>0</v>
      </c>
      <c r="AH204" s="24" t="n">
        <f aca="false">J204+U204-AD204</f>
        <v>0</v>
      </c>
    </row>
    <row r="205" customFormat="false" ht="15" hidden="false" customHeight="false" outlineLevel="0" collapsed="false">
      <c r="A205" s="19"/>
      <c r="B205" s="20"/>
      <c r="C205" s="21"/>
      <c r="D205" s="4"/>
      <c r="F205" s="5"/>
      <c r="G205" s="5"/>
      <c r="H205" s="5"/>
      <c r="I205" s="6"/>
      <c r="J205" s="7"/>
      <c r="K205" s="4"/>
      <c r="L205" s="4"/>
      <c r="M205" s="4"/>
      <c r="Q205" s="22"/>
      <c r="S205" s="23" t="n">
        <v>0</v>
      </c>
      <c r="T205" s="24" t="n">
        <f aca="false">H205*S205</f>
        <v>0</v>
      </c>
      <c r="U205" s="24" t="n">
        <f aca="false">T205-(T205*4.6%)</f>
        <v>0</v>
      </c>
      <c r="V205" s="5" t="n">
        <v>0</v>
      </c>
      <c r="W205" s="24" t="n">
        <f aca="false">I205-V205</f>
        <v>0</v>
      </c>
      <c r="X205" s="24" t="n">
        <f aca="false">W205-U205</f>
        <v>0</v>
      </c>
      <c r="Y205" s="23" t="n">
        <v>0</v>
      </c>
      <c r="Z205" s="24" t="n">
        <f aca="false">G205*Y205</f>
        <v>0</v>
      </c>
      <c r="AA205" s="23" t="n">
        <v>0</v>
      </c>
      <c r="AB205" s="24" t="n">
        <f aca="false">J205*AA205</f>
        <v>0</v>
      </c>
      <c r="AC205" s="24" t="n">
        <f aca="false">Z205+AB205</f>
        <v>0</v>
      </c>
      <c r="AD205" s="24" t="n">
        <f aca="false">AC205-(AC205*11.5%)</f>
        <v>0</v>
      </c>
      <c r="AE205" s="25" t="n">
        <v>0</v>
      </c>
      <c r="AF205" s="24" t="n">
        <f aca="false">I205+J205-AE205</f>
        <v>0</v>
      </c>
      <c r="AG205" s="24" t="n">
        <f aca="false">AF205-AD205</f>
        <v>0</v>
      </c>
      <c r="AH205" s="24" t="n">
        <f aca="false">J205+U205-AD205</f>
        <v>0</v>
      </c>
    </row>
    <row r="206" customFormat="false" ht="15" hidden="false" customHeight="false" outlineLevel="0" collapsed="false">
      <c r="A206" s="19"/>
      <c r="B206" s="20"/>
      <c r="C206" s="21"/>
      <c r="D206" s="4"/>
      <c r="F206" s="5"/>
      <c r="G206" s="5"/>
      <c r="H206" s="5"/>
      <c r="I206" s="6"/>
      <c r="J206" s="7"/>
      <c r="K206" s="4"/>
      <c r="L206" s="4"/>
      <c r="M206" s="4"/>
      <c r="Q206" s="22"/>
      <c r="S206" s="23" t="n">
        <v>0</v>
      </c>
      <c r="T206" s="24" t="n">
        <f aca="false">H206*S206</f>
        <v>0</v>
      </c>
      <c r="U206" s="24" t="n">
        <f aca="false">T206-(T206*4.6%)</f>
        <v>0</v>
      </c>
      <c r="V206" s="5" t="n">
        <v>0</v>
      </c>
      <c r="W206" s="24" t="n">
        <f aca="false">I206-V206</f>
        <v>0</v>
      </c>
      <c r="X206" s="24" t="n">
        <f aca="false">W206-U206</f>
        <v>0</v>
      </c>
      <c r="Y206" s="23" t="n">
        <v>0</v>
      </c>
      <c r="Z206" s="24" t="n">
        <f aca="false">G206*Y206</f>
        <v>0</v>
      </c>
      <c r="AA206" s="23" t="n">
        <v>0</v>
      </c>
      <c r="AB206" s="24" t="n">
        <f aca="false">J206*AA206</f>
        <v>0</v>
      </c>
      <c r="AC206" s="24" t="n">
        <f aca="false">Z206+AB206</f>
        <v>0</v>
      </c>
      <c r="AD206" s="24" t="n">
        <f aca="false">AC206-(AC206*11.5%)</f>
        <v>0</v>
      </c>
      <c r="AE206" s="25" t="n">
        <v>0</v>
      </c>
      <c r="AF206" s="24" t="n">
        <f aca="false">I206+J206-AE206</f>
        <v>0</v>
      </c>
      <c r="AG206" s="24" t="n">
        <f aca="false">AF206-AD206</f>
        <v>0</v>
      </c>
      <c r="AH206" s="24" t="n">
        <f aca="false">J206+U206-AD206</f>
        <v>0</v>
      </c>
    </row>
    <row r="207" customFormat="false" ht="15" hidden="false" customHeight="false" outlineLevel="0" collapsed="false">
      <c r="A207" s="19"/>
      <c r="B207" s="20"/>
      <c r="C207" s="21"/>
      <c r="D207" s="4"/>
      <c r="F207" s="5"/>
      <c r="G207" s="5"/>
      <c r="H207" s="5"/>
      <c r="I207" s="6"/>
      <c r="J207" s="7"/>
      <c r="K207" s="4"/>
      <c r="L207" s="4"/>
      <c r="M207" s="4"/>
      <c r="Q207" s="22"/>
      <c r="S207" s="23" t="n">
        <v>0</v>
      </c>
      <c r="T207" s="24" t="n">
        <f aca="false">H207*S207</f>
        <v>0</v>
      </c>
      <c r="U207" s="24" t="n">
        <f aca="false">T207-(T207*4.6%)</f>
        <v>0</v>
      </c>
      <c r="V207" s="5" t="n">
        <v>0</v>
      </c>
      <c r="W207" s="24" t="n">
        <f aca="false">I207-V207</f>
        <v>0</v>
      </c>
      <c r="X207" s="24" t="n">
        <f aca="false">W207-U207</f>
        <v>0</v>
      </c>
      <c r="Y207" s="23" t="n">
        <v>0</v>
      </c>
      <c r="Z207" s="24" t="n">
        <f aca="false">G207*Y207</f>
        <v>0</v>
      </c>
      <c r="AA207" s="23" t="n">
        <v>0</v>
      </c>
      <c r="AB207" s="24" t="n">
        <f aca="false">J207*AA207</f>
        <v>0</v>
      </c>
      <c r="AC207" s="24" t="n">
        <f aca="false">Z207+AB207</f>
        <v>0</v>
      </c>
      <c r="AD207" s="24" t="n">
        <f aca="false">AC207-(AC207*11.5%)</f>
        <v>0</v>
      </c>
      <c r="AE207" s="25" t="n">
        <v>0</v>
      </c>
      <c r="AF207" s="24" t="n">
        <f aca="false">I207+J207-AE207</f>
        <v>0</v>
      </c>
      <c r="AG207" s="24" t="n">
        <f aca="false">AF207-AD207</f>
        <v>0</v>
      </c>
      <c r="AH207" s="24" t="n">
        <f aca="false">J207+U207-AD207</f>
        <v>0</v>
      </c>
    </row>
    <row r="208" customFormat="false" ht="15" hidden="false" customHeight="false" outlineLevel="0" collapsed="false">
      <c r="A208" s="19"/>
      <c r="B208" s="20"/>
      <c r="C208" s="21"/>
      <c r="D208" s="4"/>
      <c r="F208" s="5"/>
      <c r="G208" s="5"/>
      <c r="H208" s="5"/>
      <c r="I208" s="6"/>
      <c r="J208" s="7"/>
      <c r="K208" s="4"/>
      <c r="L208" s="4"/>
      <c r="M208" s="4"/>
      <c r="Q208" s="22"/>
      <c r="S208" s="23" t="n">
        <v>0</v>
      </c>
      <c r="T208" s="24" t="n">
        <f aca="false">H208*S208</f>
        <v>0</v>
      </c>
      <c r="U208" s="24" t="n">
        <f aca="false">T208-(T208*4.6%)</f>
        <v>0</v>
      </c>
      <c r="V208" s="5" t="n">
        <v>0</v>
      </c>
      <c r="W208" s="24" t="n">
        <f aca="false">I208-V208</f>
        <v>0</v>
      </c>
      <c r="X208" s="24" t="n">
        <f aca="false">W208-U208</f>
        <v>0</v>
      </c>
      <c r="Y208" s="23" t="n">
        <v>0</v>
      </c>
      <c r="Z208" s="24" t="n">
        <f aca="false">G208*Y208</f>
        <v>0</v>
      </c>
      <c r="AA208" s="23" t="n">
        <v>0</v>
      </c>
      <c r="AB208" s="24" t="n">
        <f aca="false">J208*AA208</f>
        <v>0</v>
      </c>
      <c r="AC208" s="24" t="n">
        <f aca="false">Z208+AB208</f>
        <v>0</v>
      </c>
      <c r="AD208" s="24" t="n">
        <f aca="false">AC208-(AC208*11.5%)</f>
        <v>0</v>
      </c>
      <c r="AE208" s="25" t="n">
        <v>0</v>
      </c>
      <c r="AF208" s="24" t="n">
        <f aca="false">I208+J208-AE208</f>
        <v>0</v>
      </c>
      <c r="AG208" s="24" t="n">
        <f aca="false">AF208-AD208</f>
        <v>0</v>
      </c>
      <c r="AH208" s="24" t="n">
        <f aca="false">J208+U208-AD208</f>
        <v>0</v>
      </c>
    </row>
    <row r="209" customFormat="false" ht="15" hidden="false" customHeight="false" outlineLevel="0" collapsed="false">
      <c r="A209" s="19"/>
      <c r="B209" s="20"/>
      <c r="C209" s="21"/>
      <c r="D209" s="4"/>
      <c r="F209" s="5"/>
      <c r="G209" s="5"/>
      <c r="H209" s="5"/>
      <c r="I209" s="6"/>
      <c r="J209" s="7"/>
      <c r="K209" s="4"/>
      <c r="L209" s="4"/>
      <c r="M209" s="4"/>
      <c r="Q209" s="22"/>
      <c r="S209" s="23" t="n">
        <v>0</v>
      </c>
      <c r="T209" s="24" t="n">
        <f aca="false">H209*S209</f>
        <v>0</v>
      </c>
      <c r="U209" s="24" t="n">
        <f aca="false">T209-(T209*4.6%)</f>
        <v>0</v>
      </c>
      <c r="V209" s="5" t="n">
        <v>0</v>
      </c>
      <c r="W209" s="24" t="n">
        <f aca="false">I209-V209</f>
        <v>0</v>
      </c>
      <c r="X209" s="24" t="n">
        <f aca="false">W209-U209</f>
        <v>0</v>
      </c>
      <c r="Y209" s="23" t="n">
        <v>0</v>
      </c>
      <c r="Z209" s="24" t="n">
        <f aca="false">G209*Y209</f>
        <v>0</v>
      </c>
      <c r="AA209" s="23" t="n">
        <v>0</v>
      </c>
      <c r="AB209" s="24" t="n">
        <f aca="false">J209*AA209</f>
        <v>0</v>
      </c>
      <c r="AC209" s="24" t="n">
        <f aca="false">Z209+AB209</f>
        <v>0</v>
      </c>
      <c r="AD209" s="24" t="n">
        <f aca="false">AC209-(AC209*11.5%)</f>
        <v>0</v>
      </c>
      <c r="AE209" s="25" t="n">
        <v>0</v>
      </c>
      <c r="AF209" s="24" t="n">
        <f aca="false">I209+J209-AE209</f>
        <v>0</v>
      </c>
      <c r="AG209" s="24" t="n">
        <f aca="false">AF209-AD209</f>
        <v>0</v>
      </c>
      <c r="AH209" s="24" t="n">
        <f aca="false">J209+U209-AD209</f>
        <v>0</v>
      </c>
    </row>
    <row r="210" customFormat="false" ht="15" hidden="false" customHeight="false" outlineLevel="0" collapsed="false">
      <c r="A210" s="19"/>
      <c r="B210" s="20"/>
      <c r="C210" s="21"/>
      <c r="D210" s="4"/>
      <c r="F210" s="5"/>
      <c r="G210" s="5"/>
      <c r="H210" s="5"/>
      <c r="I210" s="6"/>
      <c r="J210" s="7"/>
      <c r="K210" s="4"/>
      <c r="L210" s="4"/>
      <c r="M210" s="4"/>
      <c r="Q210" s="22"/>
      <c r="S210" s="23" t="n">
        <v>0</v>
      </c>
      <c r="T210" s="24" t="n">
        <f aca="false">H210*S210</f>
        <v>0</v>
      </c>
      <c r="U210" s="24" t="n">
        <f aca="false">T210-(T210*4.6%)</f>
        <v>0</v>
      </c>
      <c r="V210" s="5" t="n">
        <v>0</v>
      </c>
      <c r="W210" s="24" t="n">
        <f aca="false">I210-V210</f>
        <v>0</v>
      </c>
      <c r="X210" s="24" t="n">
        <f aca="false">W210-U210</f>
        <v>0</v>
      </c>
      <c r="Y210" s="23" t="n">
        <v>0</v>
      </c>
      <c r="Z210" s="24" t="n">
        <f aca="false">G210*Y210</f>
        <v>0</v>
      </c>
      <c r="AA210" s="23" t="n">
        <v>0</v>
      </c>
      <c r="AB210" s="24" t="n">
        <f aca="false">J210*AA210</f>
        <v>0</v>
      </c>
      <c r="AC210" s="24" t="n">
        <f aca="false">Z210+AB210</f>
        <v>0</v>
      </c>
      <c r="AD210" s="24" t="n">
        <f aca="false">AC210-(AC210*11.5%)</f>
        <v>0</v>
      </c>
      <c r="AE210" s="25" t="n">
        <v>0</v>
      </c>
      <c r="AF210" s="24" t="n">
        <f aca="false">I210+J210-AE210</f>
        <v>0</v>
      </c>
      <c r="AG210" s="24" t="n">
        <f aca="false">AF210-AD210</f>
        <v>0</v>
      </c>
      <c r="AH210" s="24" t="n">
        <f aca="false">J210+U210-AD210</f>
        <v>0</v>
      </c>
    </row>
    <row r="211" customFormat="false" ht="15" hidden="false" customHeight="false" outlineLevel="0" collapsed="false">
      <c r="A211" s="19"/>
      <c r="B211" s="20"/>
      <c r="C211" s="21"/>
      <c r="D211" s="4"/>
      <c r="F211" s="5"/>
      <c r="G211" s="5"/>
      <c r="H211" s="5"/>
      <c r="I211" s="6"/>
      <c r="J211" s="7"/>
      <c r="K211" s="4"/>
      <c r="L211" s="4"/>
      <c r="M211" s="4"/>
      <c r="Q211" s="22"/>
      <c r="S211" s="23" t="n">
        <v>0</v>
      </c>
      <c r="T211" s="24" t="n">
        <f aca="false">H211*S211</f>
        <v>0</v>
      </c>
      <c r="U211" s="24" t="n">
        <f aca="false">T211-(T211*4.6%)</f>
        <v>0</v>
      </c>
      <c r="V211" s="5" t="n">
        <v>0</v>
      </c>
      <c r="W211" s="24" t="n">
        <f aca="false">I211-V211</f>
        <v>0</v>
      </c>
      <c r="X211" s="24" t="n">
        <f aca="false">W211-U211</f>
        <v>0</v>
      </c>
      <c r="Y211" s="23" t="n">
        <v>0</v>
      </c>
      <c r="Z211" s="24" t="n">
        <f aca="false">G211*Y211</f>
        <v>0</v>
      </c>
      <c r="AA211" s="23" t="n">
        <v>0</v>
      </c>
      <c r="AB211" s="24" t="n">
        <f aca="false">J211*AA211</f>
        <v>0</v>
      </c>
      <c r="AC211" s="24" t="n">
        <f aca="false">Z211+AB211</f>
        <v>0</v>
      </c>
      <c r="AD211" s="24" t="n">
        <f aca="false">AC211-(AC211*11.5%)</f>
        <v>0</v>
      </c>
      <c r="AE211" s="25" t="n">
        <v>0</v>
      </c>
      <c r="AF211" s="24" t="n">
        <f aca="false">I211+J211-AE211</f>
        <v>0</v>
      </c>
      <c r="AG211" s="24" t="n">
        <f aca="false">AF211-AD211</f>
        <v>0</v>
      </c>
      <c r="AH211" s="24" t="n">
        <f aca="false">J211+U211-AD211</f>
        <v>0</v>
      </c>
    </row>
    <row r="212" customFormat="false" ht="15" hidden="false" customHeight="false" outlineLevel="0" collapsed="false">
      <c r="A212" s="19"/>
      <c r="B212" s="20"/>
      <c r="C212" s="21"/>
      <c r="D212" s="4"/>
      <c r="F212" s="5"/>
      <c r="G212" s="5"/>
      <c r="H212" s="5"/>
      <c r="I212" s="6"/>
      <c r="J212" s="7"/>
      <c r="K212" s="4"/>
      <c r="L212" s="4"/>
      <c r="M212" s="4"/>
      <c r="Q212" s="22"/>
      <c r="S212" s="23" t="n">
        <v>0</v>
      </c>
      <c r="T212" s="24" t="n">
        <f aca="false">H212*S212</f>
        <v>0</v>
      </c>
      <c r="U212" s="24" t="n">
        <f aca="false">T212-(T212*4.6%)</f>
        <v>0</v>
      </c>
      <c r="V212" s="5" t="n">
        <v>0</v>
      </c>
      <c r="W212" s="24" t="n">
        <f aca="false">I212-V212</f>
        <v>0</v>
      </c>
      <c r="X212" s="24" t="n">
        <f aca="false">W212-U212</f>
        <v>0</v>
      </c>
      <c r="Y212" s="23" t="n">
        <v>0</v>
      </c>
      <c r="Z212" s="24" t="n">
        <f aca="false">G212*Y212</f>
        <v>0</v>
      </c>
      <c r="AA212" s="23" t="n">
        <v>0</v>
      </c>
      <c r="AB212" s="24" t="n">
        <f aca="false">J212*AA212</f>
        <v>0</v>
      </c>
      <c r="AC212" s="24" t="n">
        <f aca="false">Z212+AB212</f>
        <v>0</v>
      </c>
      <c r="AD212" s="24" t="n">
        <f aca="false">AC212-(AC212*11.5%)</f>
        <v>0</v>
      </c>
      <c r="AE212" s="25" t="n">
        <v>0</v>
      </c>
      <c r="AF212" s="24" t="n">
        <f aca="false">I212+J212-AE212</f>
        <v>0</v>
      </c>
      <c r="AG212" s="24" t="n">
        <f aca="false">AF212-AD212</f>
        <v>0</v>
      </c>
      <c r="AH212" s="24" t="n">
        <f aca="false">J212+U212-AD212</f>
        <v>0</v>
      </c>
    </row>
    <row r="213" customFormat="false" ht="15" hidden="false" customHeight="false" outlineLevel="0" collapsed="false">
      <c r="A213" s="19"/>
      <c r="B213" s="20"/>
      <c r="C213" s="21"/>
      <c r="D213" s="4"/>
      <c r="F213" s="5"/>
      <c r="G213" s="5"/>
      <c r="H213" s="5"/>
      <c r="I213" s="6"/>
      <c r="J213" s="7"/>
      <c r="K213" s="4"/>
      <c r="L213" s="4"/>
      <c r="M213" s="4"/>
      <c r="Q213" s="22"/>
      <c r="S213" s="23" t="n">
        <v>0</v>
      </c>
      <c r="T213" s="24" t="n">
        <f aca="false">H213*S213</f>
        <v>0</v>
      </c>
      <c r="U213" s="24" t="n">
        <f aca="false">T213-(T213*4.6%)</f>
        <v>0</v>
      </c>
      <c r="V213" s="5" t="n">
        <v>0</v>
      </c>
      <c r="W213" s="24" t="n">
        <f aca="false">I213-V213</f>
        <v>0</v>
      </c>
      <c r="X213" s="24" t="n">
        <f aca="false">W213-U213</f>
        <v>0</v>
      </c>
      <c r="Y213" s="23" t="n">
        <v>0</v>
      </c>
      <c r="Z213" s="24" t="n">
        <f aca="false">G213*Y213</f>
        <v>0</v>
      </c>
      <c r="AA213" s="23" t="n">
        <v>0</v>
      </c>
      <c r="AB213" s="24" t="n">
        <f aca="false">J213*AA213</f>
        <v>0</v>
      </c>
      <c r="AC213" s="24" t="n">
        <f aca="false">Z213+AB213</f>
        <v>0</v>
      </c>
      <c r="AD213" s="24" t="n">
        <f aca="false">AC213-(AC213*11.5%)</f>
        <v>0</v>
      </c>
      <c r="AE213" s="25" t="n">
        <v>0</v>
      </c>
      <c r="AF213" s="24" t="n">
        <f aca="false">I213+J213-AE213</f>
        <v>0</v>
      </c>
      <c r="AG213" s="24" t="n">
        <f aca="false">AF213-AD213</f>
        <v>0</v>
      </c>
      <c r="AH213" s="24" t="n">
        <f aca="false">J213+U213-AD213</f>
        <v>0</v>
      </c>
    </row>
    <row r="214" customFormat="false" ht="15" hidden="false" customHeight="false" outlineLevel="0" collapsed="false">
      <c r="A214" s="19"/>
      <c r="B214" s="20"/>
      <c r="C214" s="21"/>
      <c r="D214" s="4"/>
      <c r="F214" s="5"/>
      <c r="G214" s="5"/>
      <c r="H214" s="5"/>
      <c r="I214" s="6"/>
      <c r="J214" s="7"/>
      <c r="K214" s="4"/>
      <c r="L214" s="4"/>
      <c r="M214" s="4"/>
      <c r="Q214" s="22"/>
      <c r="S214" s="23" t="n">
        <v>0</v>
      </c>
      <c r="T214" s="24" t="n">
        <f aca="false">H214*S214</f>
        <v>0</v>
      </c>
      <c r="U214" s="24" t="n">
        <f aca="false">T214-(T214*4.6%)</f>
        <v>0</v>
      </c>
      <c r="V214" s="5" t="n">
        <v>0</v>
      </c>
      <c r="W214" s="24" t="n">
        <f aca="false">I214-V214</f>
        <v>0</v>
      </c>
      <c r="X214" s="24" t="n">
        <f aca="false">W214-U214</f>
        <v>0</v>
      </c>
      <c r="Y214" s="23" t="n">
        <v>0</v>
      </c>
      <c r="Z214" s="24" t="n">
        <f aca="false">G214*Y214</f>
        <v>0</v>
      </c>
      <c r="AA214" s="23" t="n">
        <v>0</v>
      </c>
      <c r="AB214" s="24" t="n">
        <f aca="false">J214*AA214</f>
        <v>0</v>
      </c>
      <c r="AC214" s="24" t="n">
        <f aca="false">Z214+AB214</f>
        <v>0</v>
      </c>
      <c r="AD214" s="24" t="n">
        <f aca="false">AC214-(AC214*11.5%)</f>
        <v>0</v>
      </c>
      <c r="AE214" s="25" t="n">
        <v>0</v>
      </c>
      <c r="AF214" s="24" t="n">
        <f aca="false">I214+J214-AE214</f>
        <v>0</v>
      </c>
      <c r="AG214" s="24" t="n">
        <f aca="false">AF214-AD214</f>
        <v>0</v>
      </c>
      <c r="AH214" s="24" t="n">
        <f aca="false">J214+U214-AD214</f>
        <v>0</v>
      </c>
    </row>
    <row r="215" customFormat="false" ht="15" hidden="false" customHeight="false" outlineLevel="0" collapsed="false">
      <c r="A215" s="19"/>
      <c r="B215" s="20"/>
      <c r="C215" s="21"/>
      <c r="D215" s="4"/>
      <c r="F215" s="5"/>
      <c r="G215" s="5"/>
      <c r="H215" s="5"/>
      <c r="I215" s="6"/>
      <c r="J215" s="7"/>
      <c r="K215" s="4"/>
      <c r="L215" s="4"/>
      <c r="M215" s="4"/>
      <c r="Q215" s="22"/>
      <c r="S215" s="23" t="n">
        <v>0</v>
      </c>
      <c r="T215" s="24" t="n">
        <f aca="false">H215*S215</f>
        <v>0</v>
      </c>
      <c r="U215" s="24" t="n">
        <f aca="false">T215-(T215*4.6%)</f>
        <v>0</v>
      </c>
      <c r="V215" s="5" t="n">
        <v>0</v>
      </c>
      <c r="W215" s="24" t="n">
        <f aca="false">I215-V215</f>
        <v>0</v>
      </c>
      <c r="X215" s="24" t="n">
        <f aca="false">W215-U215</f>
        <v>0</v>
      </c>
      <c r="Y215" s="23" t="n">
        <v>0</v>
      </c>
      <c r="Z215" s="24" t="n">
        <f aca="false">G215*Y215</f>
        <v>0</v>
      </c>
      <c r="AA215" s="23" t="n">
        <v>0</v>
      </c>
      <c r="AB215" s="24" t="n">
        <f aca="false">J215*AA215</f>
        <v>0</v>
      </c>
      <c r="AC215" s="24" t="n">
        <f aca="false">Z215+AB215</f>
        <v>0</v>
      </c>
      <c r="AD215" s="24" t="n">
        <f aca="false">AC215-(AC215*11.5%)</f>
        <v>0</v>
      </c>
      <c r="AE215" s="25" t="n">
        <v>0</v>
      </c>
      <c r="AF215" s="24" t="n">
        <f aca="false">I215+J215-AE215</f>
        <v>0</v>
      </c>
      <c r="AG215" s="24" t="n">
        <f aca="false">AF215-AD215</f>
        <v>0</v>
      </c>
      <c r="AH215" s="24" t="n">
        <f aca="false">J215+U215-AD215</f>
        <v>0</v>
      </c>
    </row>
    <row r="216" customFormat="false" ht="15" hidden="false" customHeight="false" outlineLevel="0" collapsed="false">
      <c r="A216" s="19"/>
      <c r="B216" s="20"/>
      <c r="C216" s="21"/>
      <c r="D216" s="4"/>
      <c r="F216" s="5"/>
      <c r="G216" s="5"/>
      <c r="H216" s="5"/>
      <c r="I216" s="6"/>
      <c r="J216" s="7"/>
      <c r="K216" s="4"/>
      <c r="L216" s="4"/>
      <c r="M216" s="4"/>
      <c r="Q216" s="22"/>
      <c r="S216" s="23" t="n">
        <v>0</v>
      </c>
      <c r="T216" s="24" t="n">
        <f aca="false">H216*S216</f>
        <v>0</v>
      </c>
      <c r="U216" s="24" t="n">
        <f aca="false">T216-(T216*4.6%)</f>
        <v>0</v>
      </c>
      <c r="V216" s="5" t="n">
        <v>0</v>
      </c>
      <c r="W216" s="24" t="n">
        <f aca="false">I216-V216</f>
        <v>0</v>
      </c>
      <c r="X216" s="24" t="n">
        <f aca="false">W216-U216</f>
        <v>0</v>
      </c>
      <c r="Y216" s="23" t="n">
        <v>0</v>
      </c>
      <c r="Z216" s="24" t="n">
        <f aca="false">G216*Y216</f>
        <v>0</v>
      </c>
      <c r="AA216" s="23" t="n">
        <v>0</v>
      </c>
      <c r="AB216" s="24" t="n">
        <f aca="false">J216*AA216</f>
        <v>0</v>
      </c>
      <c r="AC216" s="24" t="n">
        <f aca="false">Z216+AB216</f>
        <v>0</v>
      </c>
      <c r="AD216" s="24" t="n">
        <f aca="false">AC216-(AC216*11.5%)</f>
        <v>0</v>
      </c>
      <c r="AE216" s="25" t="n">
        <v>0</v>
      </c>
      <c r="AF216" s="24" t="n">
        <f aca="false">I216+J216-AE216</f>
        <v>0</v>
      </c>
      <c r="AG216" s="24" t="n">
        <f aca="false">AF216-AD216</f>
        <v>0</v>
      </c>
      <c r="AH216" s="24" t="n">
        <f aca="false">J216+U216-AD216</f>
        <v>0</v>
      </c>
    </row>
    <row r="217" customFormat="false" ht="15" hidden="false" customHeight="false" outlineLevel="0" collapsed="false">
      <c r="A217" s="19"/>
      <c r="B217" s="20"/>
      <c r="C217" s="21"/>
      <c r="D217" s="4"/>
      <c r="F217" s="5"/>
      <c r="G217" s="5"/>
      <c r="H217" s="5"/>
      <c r="I217" s="6"/>
      <c r="J217" s="7"/>
      <c r="K217" s="4"/>
      <c r="L217" s="4"/>
      <c r="M217" s="4"/>
      <c r="Q217" s="22"/>
      <c r="S217" s="23" t="n">
        <v>0</v>
      </c>
      <c r="T217" s="24" t="n">
        <f aca="false">H217*S217</f>
        <v>0</v>
      </c>
      <c r="U217" s="24" t="n">
        <f aca="false">T217-(T217*4.6%)</f>
        <v>0</v>
      </c>
      <c r="V217" s="5" t="n">
        <v>0</v>
      </c>
      <c r="W217" s="24" t="n">
        <f aca="false">I217-V217</f>
        <v>0</v>
      </c>
      <c r="X217" s="24" t="n">
        <f aca="false">W217-U217</f>
        <v>0</v>
      </c>
      <c r="Y217" s="23" t="n">
        <v>0</v>
      </c>
      <c r="Z217" s="24" t="n">
        <f aca="false">G217*Y217</f>
        <v>0</v>
      </c>
      <c r="AA217" s="23" t="n">
        <v>0</v>
      </c>
      <c r="AB217" s="24" t="n">
        <f aca="false">J217*AA217</f>
        <v>0</v>
      </c>
      <c r="AC217" s="24" t="n">
        <f aca="false">Z217+AB217</f>
        <v>0</v>
      </c>
      <c r="AD217" s="24" t="n">
        <f aca="false">AC217-(AC217*11.5%)</f>
        <v>0</v>
      </c>
      <c r="AE217" s="25" t="n">
        <v>0</v>
      </c>
      <c r="AF217" s="24" t="n">
        <f aca="false">I217+J217-AE217</f>
        <v>0</v>
      </c>
      <c r="AG217" s="24" t="n">
        <f aca="false">AF217-AD217</f>
        <v>0</v>
      </c>
      <c r="AH217" s="24" t="n">
        <f aca="false">J217+U217-AD217</f>
        <v>0</v>
      </c>
    </row>
    <row r="218" customFormat="false" ht="15" hidden="false" customHeight="false" outlineLevel="0" collapsed="false">
      <c r="A218" s="19"/>
      <c r="B218" s="20"/>
      <c r="C218" s="21"/>
      <c r="D218" s="4"/>
      <c r="F218" s="5"/>
      <c r="G218" s="5"/>
      <c r="H218" s="5"/>
      <c r="I218" s="6"/>
      <c r="J218" s="7"/>
      <c r="K218" s="4"/>
      <c r="L218" s="4"/>
      <c r="M218" s="4"/>
      <c r="Q218" s="22"/>
      <c r="S218" s="23" t="n">
        <v>0</v>
      </c>
      <c r="T218" s="24" t="n">
        <f aca="false">H218*S218</f>
        <v>0</v>
      </c>
      <c r="U218" s="24" t="n">
        <f aca="false">T218-(T218*4.6%)</f>
        <v>0</v>
      </c>
      <c r="V218" s="5" t="n">
        <v>0</v>
      </c>
      <c r="W218" s="24" t="n">
        <f aca="false">I218-V218</f>
        <v>0</v>
      </c>
      <c r="X218" s="24" t="n">
        <f aca="false">W218-U218</f>
        <v>0</v>
      </c>
      <c r="Y218" s="23" t="n">
        <v>0</v>
      </c>
      <c r="Z218" s="24" t="n">
        <f aca="false">G218*Y218</f>
        <v>0</v>
      </c>
      <c r="AA218" s="23" t="n">
        <v>0</v>
      </c>
      <c r="AB218" s="24" t="n">
        <f aca="false">J218*AA218</f>
        <v>0</v>
      </c>
      <c r="AC218" s="24" t="n">
        <f aca="false">Z218+AB218</f>
        <v>0</v>
      </c>
      <c r="AD218" s="24" t="n">
        <f aca="false">AC218-(AC218*11.5%)</f>
        <v>0</v>
      </c>
      <c r="AE218" s="25" t="n">
        <v>0</v>
      </c>
      <c r="AF218" s="24" t="n">
        <f aca="false">I218+J218-AE218</f>
        <v>0</v>
      </c>
      <c r="AG218" s="24" t="n">
        <f aca="false">AF218-AD218</f>
        <v>0</v>
      </c>
      <c r="AH218" s="24" t="n">
        <f aca="false">J218+U218-AD218</f>
        <v>0</v>
      </c>
    </row>
    <row r="219" customFormat="false" ht="15" hidden="false" customHeight="false" outlineLevel="0" collapsed="false">
      <c r="A219" s="19"/>
      <c r="B219" s="20"/>
      <c r="C219" s="21"/>
      <c r="D219" s="4"/>
      <c r="F219" s="5"/>
      <c r="G219" s="5"/>
      <c r="H219" s="5"/>
      <c r="I219" s="6"/>
      <c r="J219" s="7"/>
      <c r="K219" s="4"/>
      <c r="L219" s="4"/>
      <c r="M219" s="4"/>
      <c r="Q219" s="22"/>
      <c r="S219" s="23" t="n">
        <v>0</v>
      </c>
      <c r="T219" s="24" t="n">
        <f aca="false">H219*S219</f>
        <v>0</v>
      </c>
      <c r="U219" s="24" t="n">
        <f aca="false">T219-(T219*4.6%)</f>
        <v>0</v>
      </c>
      <c r="V219" s="5" t="n">
        <v>0</v>
      </c>
      <c r="W219" s="24" t="n">
        <f aca="false">I219-V219</f>
        <v>0</v>
      </c>
      <c r="X219" s="24" t="n">
        <f aca="false">W219-U219</f>
        <v>0</v>
      </c>
      <c r="Y219" s="23" t="n">
        <v>0</v>
      </c>
      <c r="Z219" s="24" t="n">
        <f aca="false">G219*Y219</f>
        <v>0</v>
      </c>
      <c r="AA219" s="23" t="n">
        <v>0</v>
      </c>
      <c r="AB219" s="24" t="n">
        <f aca="false">J219*AA219</f>
        <v>0</v>
      </c>
      <c r="AC219" s="24" t="n">
        <f aca="false">Z219+AB219</f>
        <v>0</v>
      </c>
      <c r="AD219" s="24" t="n">
        <f aca="false">AC219-(AC219*11.5%)</f>
        <v>0</v>
      </c>
      <c r="AE219" s="25" t="n">
        <v>0</v>
      </c>
      <c r="AF219" s="24" t="n">
        <f aca="false">I219+J219-AE219</f>
        <v>0</v>
      </c>
      <c r="AG219" s="24" t="n">
        <f aca="false">AF219-AD219</f>
        <v>0</v>
      </c>
      <c r="AH219" s="24" t="n">
        <f aca="false">J219+U219-AD219</f>
        <v>0</v>
      </c>
    </row>
    <row r="220" customFormat="false" ht="15" hidden="false" customHeight="false" outlineLevel="0" collapsed="false">
      <c r="A220" s="19"/>
      <c r="B220" s="20"/>
      <c r="C220" s="21"/>
      <c r="D220" s="4"/>
      <c r="F220" s="5"/>
      <c r="G220" s="5"/>
      <c r="H220" s="5"/>
      <c r="I220" s="6"/>
      <c r="J220" s="7"/>
      <c r="K220" s="4"/>
      <c r="L220" s="4"/>
      <c r="M220" s="4"/>
      <c r="Q220" s="22"/>
      <c r="S220" s="23" t="n">
        <v>0</v>
      </c>
      <c r="T220" s="24" t="n">
        <f aca="false">H220*S220</f>
        <v>0</v>
      </c>
      <c r="U220" s="24" t="n">
        <f aca="false">T220-(T220*4.6%)</f>
        <v>0</v>
      </c>
      <c r="V220" s="5" t="n">
        <v>0</v>
      </c>
      <c r="W220" s="24" t="n">
        <f aca="false">I220-V220</f>
        <v>0</v>
      </c>
      <c r="X220" s="24" t="n">
        <f aca="false">W220-U220</f>
        <v>0</v>
      </c>
      <c r="Y220" s="23" t="n">
        <v>0</v>
      </c>
      <c r="Z220" s="24" t="n">
        <f aca="false">G220*Y220</f>
        <v>0</v>
      </c>
      <c r="AA220" s="23" t="n">
        <v>0</v>
      </c>
      <c r="AB220" s="24" t="n">
        <f aca="false">J220*AA220</f>
        <v>0</v>
      </c>
      <c r="AC220" s="24" t="n">
        <f aca="false">Z220+AB220</f>
        <v>0</v>
      </c>
      <c r="AD220" s="24" t="n">
        <f aca="false">AC220-(AC220*11.5%)</f>
        <v>0</v>
      </c>
      <c r="AE220" s="25" t="n">
        <v>0</v>
      </c>
      <c r="AF220" s="24" t="n">
        <f aca="false">I220+J220-AE220</f>
        <v>0</v>
      </c>
      <c r="AG220" s="24" t="n">
        <f aca="false">AF220-AD220</f>
        <v>0</v>
      </c>
      <c r="AH220" s="24" t="n">
        <f aca="false">J220+U220-AD220</f>
        <v>0</v>
      </c>
    </row>
    <row r="221" customFormat="false" ht="15" hidden="false" customHeight="false" outlineLevel="0" collapsed="false">
      <c r="A221" s="19"/>
      <c r="B221" s="20"/>
      <c r="C221" s="21"/>
      <c r="D221" s="4"/>
      <c r="F221" s="5"/>
      <c r="G221" s="5"/>
      <c r="H221" s="5"/>
      <c r="I221" s="6"/>
      <c r="J221" s="7"/>
      <c r="K221" s="4"/>
      <c r="L221" s="4"/>
      <c r="M221" s="4"/>
      <c r="Q221" s="22"/>
      <c r="S221" s="23" t="n">
        <v>0</v>
      </c>
      <c r="T221" s="24" t="n">
        <f aca="false">H221*S221</f>
        <v>0</v>
      </c>
      <c r="U221" s="24" t="n">
        <f aca="false">T221-(T221*4.6%)</f>
        <v>0</v>
      </c>
      <c r="V221" s="5" t="n">
        <v>0</v>
      </c>
      <c r="W221" s="24" t="n">
        <f aca="false">I221-V221</f>
        <v>0</v>
      </c>
      <c r="X221" s="24" t="n">
        <f aca="false">W221-U221</f>
        <v>0</v>
      </c>
      <c r="Y221" s="23" t="n">
        <v>0</v>
      </c>
      <c r="Z221" s="24" t="n">
        <f aca="false">G221*Y221</f>
        <v>0</v>
      </c>
      <c r="AA221" s="23" t="n">
        <v>0</v>
      </c>
      <c r="AB221" s="24" t="n">
        <f aca="false">J221*AA221</f>
        <v>0</v>
      </c>
      <c r="AC221" s="24" t="n">
        <f aca="false">Z221+AB221</f>
        <v>0</v>
      </c>
      <c r="AD221" s="24" t="n">
        <f aca="false">AC221-(AC221*11.5%)</f>
        <v>0</v>
      </c>
      <c r="AE221" s="25" t="n">
        <v>0</v>
      </c>
      <c r="AF221" s="24" t="n">
        <f aca="false">I221+J221-AE221</f>
        <v>0</v>
      </c>
      <c r="AG221" s="24" t="n">
        <f aca="false">AF221-AD221</f>
        <v>0</v>
      </c>
      <c r="AH221" s="24" t="n">
        <f aca="false">J221+U221-AD221</f>
        <v>0</v>
      </c>
    </row>
    <row r="222" customFormat="false" ht="15" hidden="false" customHeight="false" outlineLevel="0" collapsed="false">
      <c r="A222" s="19"/>
      <c r="B222" s="20"/>
      <c r="C222" s="21"/>
      <c r="D222" s="4"/>
      <c r="F222" s="5"/>
      <c r="G222" s="5"/>
      <c r="H222" s="5"/>
      <c r="I222" s="6"/>
      <c r="J222" s="7"/>
      <c r="K222" s="4"/>
      <c r="L222" s="4"/>
      <c r="M222" s="4"/>
      <c r="Q222" s="22"/>
      <c r="S222" s="23" t="n">
        <v>0</v>
      </c>
      <c r="T222" s="24" t="n">
        <f aca="false">H222*S222</f>
        <v>0</v>
      </c>
      <c r="U222" s="24" t="n">
        <f aca="false">T222-(T222*4.6%)</f>
        <v>0</v>
      </c>
      <c r="V222" s="5" t="n">
        <v>0</v>
      </c>
      <c r="W222" s="24" t="n">
        <f aca="false">I222-V222</f>
        <v>0</v>
      </c>
      <c r="X222" s="24" t="n">
        <f aca="false">W222-U222</f>
        <v>0</v>
      </c>
      <c r="Y222" s="23" t="n">
        <v>0</v>
      </c>
      <c r="Z222" s="24" t="n">
        <f aca="false">G222*Y222</f>
        <v>0</v>
      </c>
      <c r="AA222" s="23" t="n">
        <v>0</v>
      </c>
      <c r="AB222" s="24" t="n">
        <f aca="false">J222*AA222</f>
        <v>0</v>
      </c>
      <c r="AC222" s="24" t="n">
        <f aca="false">Z222+AB222</f>
        <v>0</v>
      </c>
      <c r="AD222" s="24" t="n">
        <f aca="false">AC222-(AC222*11.5%)</f>
        <v>0</v>
      </c>
      <c r="AE222" s="25" t="n">
        <v>0</v>
      </c>
      <c r="AF222" s="24" t="n">
        <f aca="false">I222+J222-AE222</f>
        <v>0</v>
      </c>
      <c r="AG222" s="24" t="n">
        <f aca="false">AF222-AD222</f>
        <v>0</v>
      </c>
      <c r="AH222" s="24" t="n">
        <f aca="false">J222+U222-AD222</f>
        <v>0</v>
      </c>
    </row>
    <row r="223" customFormat="false" ht="15" hidden="false" customHeight="false" outlineLevel="0" collapsed="false">
      <c r="A223" s="19"/>
      <c r="B223" s="20"/>
      <c r="C223" s="21"/>
      <c r="D223" s="4"/>
      <c r="F223" s="5"/>
      <c r="G223" s="5"/>
      <c r="H223" s="5"/>
      <c r="I223" s="6"/>
      <c r="J223" s="7"/>
      <c r="K223" s="4"/>
      <c r="L223" s="4"/>
      <c r="M223" s="4"/>
      <c r="Q223" s="22"/>
      <c r="S223" s="23" t="n">
        <v>0</v>
      </c>
      <c r="T223" s="24" t="n">
        <f aca="false">H223*S223</f>
        <v>0</v>
      </c>
      <c r="U223" s="24" t="n">
        <f aca="false">T223-(T223*4.6%)</f>
        <v>0</v>
      </c>
      <c r="V223" s="5" t="n">
        <v>0</v>
      </c>
      <c r="W223" s="24" t="n">
        <f aca="false">I223-V223</f>
        <v>0</v>
      </c>
      <c r="X223" s="24" t="n">
        <f aca="false">W223-U223</f>
        <v>0</v>
      </c>
      <c r="Y223" s="23" t="n">
        <v>0</v>
      </c>
      <c r="Z223" s="24" t="n">
        <f aca="false">G223*Y223</f>
        <v>0</v>
      </c>
      <c r="AA223" s="23" t="n">
        <v>0</v>
      </c>
      <c r="AB223" s="24" t="n">
        <f aca="false">J223*AA223</f>
        <v>0</v>
      </c>
      <c r="AC223" s="24" t="n">
        <f aca="false">Z223+AB223</f>
        <v>0</v>
      </c>
      <c r="AD223" s="24" t="n">
        <f aca="false">AC223-(AC223*11.5%)</f>
        <v>0</v>
      </c>
      <c r="AE223" s="25" t="n">
        <v>0</v>
      </c>
      <c r="AF223" s="24" t="n">
        <f aca="false">I223+J223-AE223</f>
        <v>0</v>
      </c>
      <c r="AG223" s="24" t="n">
        <f aca="false">AF223-AD223</f>
        <v>0</v>
      </c>
      <c r="AH223" s="24" t="n">
        <f aca="false">J223+U223-AD223</f>
        <v>0</v>
      </c>
    </row>
    <row r="224" customFormat="false" ht="15" hidden="false" customHeight="false" outlineLevel="0" collapsed="false">
      <c r="A224" s="19"/>
      <c r="B224" s="20"/>
      <c r="C224" s="21"/>
      <c r="D224" s="4"/>
      <c r="F224" s="5"/>
      <c r="G224" s="5"/>
      <c r="H224" s="5"/>
      <c r="I224" s="6"/>
      <c r="J224" s="7"/>
      <c r="K224" s="4"/>
      <c r="L224" s="4"/>
      <c r="M224" s="4"/>
      <c r="Q224" s="22"/>
      <c r="S224" s="23" t="n">
        <v>0</v>
      </c>
      <c r="T224" s="24" t="n">
        <f aca="false">H224*S224</f>
        <v>0</v>
      </c>
      <c r="U224" s="24" t="n">
        <f aca="false">T224-(T224*4.6%)</f>
        <v>0</v>
      </c>
      <c r="V224" s="5" t="n">
        <v>0</v>
      </c>
      <c r="W224" s="24" t="n">
        <f aca="false">I224-V224</f>
        <v>0</v>
      </c>
      <c r="X224" s="24" t="n">
        <f aca="false">W224-U224</f>
        <v>0</v>
      </c>
      <c r="Y224" s="23" t="n">
        <v>0</v>
      </c>
      <c r="Z224" s="24" t="n">
        <f aca="false">G224*Y224</f>
        <v>0</v>
      </c>
      <c r="AA224" s="23" t="n">
        <v>0</v>
      </c>
      <c r="AB224" s="24" t="n">
        <f aca="false">J224*AA224</f>
        <v>0</v>
      </c>
      <c r="AC224" s="24" t="n">
        <f aca="false">Z224+AB224</f>
        <v>0</v>
      </c>
      <c r="AD224" s="24" t="n">
        <f aca="false">AC224-(AC224*11.5%)</f>
        <v>0</v>
      </c>
      <c r="AE224" s="25" t="n">
        <v>0</v>
      </c>
      <c r="AF224" s="24" t="n">
        <f aca="false">I224+J224-AE224</f>
        <v>0</v>
      </c>
      <c r="AG224" s="24" t="n">
        <f aca="false">AF224-AD224</f>
        <v>0</v>
      </c>
      <c r="AH224" s="24" t="n">
        <f aca="false">J224+U224-AD224</f>
        <v>0</v>
      </c>
    </row>
    <row r="225" customFormat="false" ht="15" hidden="false" customHeight="false" outlineLevel="0" collapsed="false">
      <c r="A225" s="19"/>
      <c r="B225" s="20"/>
      <c r="C225" s="21"/>
      <c r="D225" s="4"/>
      <c r="F225" s="5"/>
      <c r="G225" s="5"/>
      <c r="H225" s="5"/>
      <c r="I225" s="6"/>
      <c r="J225" s="7"/>
      <c r="K225" s="4"/>
      <c r="L225" s="4"/>
      <c r="M225" s="4"/>
      <c r="Q225" s="22"/>
      <c r="S225" s="23" t="n">
        <v>0</v>
      </c>
      <c r="T225" s="24" t="n">
        <f aca="false">H225*S225</f>
        <v>0</v>
      </c>
      <c r="U225" s="24" t="n">
        <f aca="false">T225-(T225*4.6%)</f>
        <v>0</v>
      </c>
      <c r="V225" s="5" t="n">
        <v>0</v>
      </c>
      <c r="W225" s="24" t="n">
        <f aca="false">I225-V225</f>
        <v>0</v>
      </c>
      <c r="X225" s="24" t="n">
        <f aca="false">W225-U225</f>
        <v>0</v>
      </c>
      <c r="Y225" s="23" t="n">
        <v>0</v>
      </c>
      <c r="Z225" s="24" t="n">
        <f aca="false">G225*Y225</f>
        <v>0</v>
      </c>
      <c r="AA225" s="23" t="n">
        <v>0</v>
      </c>
      <c r="AB225" s="24" t="n">
        <f aca="false">J225*AA225</f>
        <v>0</v>
      </c>
      <c r="AC225" s="24" t="n">
        <f aca="false">Z225+AB225</f>
        <v>0</v>
      </c>
      <c r="AD225" s="24" t="n">
        <f aca="false">AC225-(AC225*11.5%)</f>
        <v>0</v>
      </c>
      <c r="AE225" s="25" t="n">
        <v>0</v>
      </c>
      <c r="AF225" s="24" t="n">
        <f aca="false">I225+J225-AE225</f>
        <v>0</v>
      </c>
      <c r="AG225" s="24" t="n">
        <f aca="false">AF225-AD225</f>
        <v>0</v>
      </c>
      <c r="AH225" s="24" t="n">
        <f aca="false">J225+U225-AD225</f>
        <v>0</v>
      </c>
    </row>
    <row r="226" customFormat="false" ht="15" hidden="false" customHeight="false" outlineLevel="0" collapsed="false">
      <c r="A226" s="19"/>
      <c r="B226" s="20"/>
      <c r="C226" s="21"/>
      <c r="D226" s="4"/>
      <c r="F226" s="5"/>
      <c r="G226" s="5"/>
      <c r="H226" s="5"/>
      <c r="I226" s="6"/>
      <c r="J226" s="7"/>
      <c r="K226" s="4"/>
      <c r="L226" s="4"/>
      <c r="M226" s="4"/>
      <c r="Q226" s="22"/>
      <c r="S226" s="23" t="n">
        <v>0</v>
      </c>
      <c r="T226" s="24" t="n">
        <f aca="false">H226*S226</f>
        <v>0</v>
      </c>
      <c r="U226" s="24" t="n">
        <f aca="false">T226-(T226*4.6%)</f>
        <v>0</v>
      </c>
      <c r="V226" s="5" t="n">
        <v>0</v>
      </c>
      <c r="W226" s="24" t="n">
        <f aca="false">I226-V226</f>
        <v>0</v>
      </c>
      <c r="X226" s="24" t="n">
        <f aca="false">W226-U226</f>
        <v>0</v>
      </c>
      <c r="Y226" s="23" t="n">
        <v>0</v>
      </c>
      <c r="Z226" s="24" t="n">
        <f aca="false">G226*Y226</f>
        <v>0</v>
      </c>
      <c r="AA226" s="23" t="n">
        <v>0</v>
      </c>
      <c r="AB226" s="24" t="n">
        <f aca="false">J226*AA226</f>
        <v>0</v>
      </c>
      <c r="AC226" s="24" t="n">
        <f aca="false">Z226+AB226</f>
        <v>0</v>
      </c>
      <c r="AD226" s="24" t="n">
        <f aca="false">AC226-(AC226*11.5%)</f>
        <v>0</v>
      </c>
      <c r="AE226" s="25" t="n">
        <v>0</v>
      </c>
      <c r="AF226" s="24" t="n">
        <f aca="false">I226+J226-AE226</f>
        <v>0</v>
      </c>
      <c r="AG226" s="24" t="n">
        <f aca="false">AF226-AD226</f>
        <v>0</v>
      </c>
      <c r="AH226" s="24" t="n">
        <f aca="false">J226+U226-AD226</f>
        <v>0</v>
      </c>
    </row>
    <row r="227" customFormat="false" ht="15" hidden="false" customHeight="false" outlineLevel="0" collapsed="false">
      <c r="A227" s="19"/>
      <c r="B227" s="20"/>
      <c r="C227" s="21"/>
      <c r="D227" s="4"/>
      <c r="F227" s="5"/>
      <c r="G227" s="5"/>
      <c r="H227" s="5"/>
      <c r="I227" s="6"/>
      <c r="J227" s="7"/>
      <c r="K227" s="4"/>
      <c r="L227" s="4"/>
      <c r="M227" s="4"/>
      <c r="Q227" s="22"/>
      <c r="S227" s="23" t="n">
        <v>0</v>
      </c>
      <c r="T227" s="24" t="n">
        <f aca="false">H227*S227</f>
        <v>0</v>
      </c>
      <c r="U227" s="24" t="n">
        <f aca="false">T227-(T227*4.6%)</f>
        <v>0</v>
      </c>
      <c r="V227" s="5" t="n">
        <v>0</v>
      </c>
      <c r="W227" s="24" t="n">
        <f aca="false">I227-V227</f>
        <v>0</v>
      </c>
      <c r="X227" s="24" t="n">
        <f aca="false">W227-U227</f>
        <v>0</v>
      </c>
      <c r="Y227" s="23" t="n">
        <v>0</v>
      </c>
      <c r="Z227" s="24" t="n">
        <f aca="false">G227*Y227</f>
        <v>0</v>
      </c>
      <c r="AA227" s="23" t="n">
        <v>0</v>
      </c>
      <c r="AB227" s="24" t="n">
        <f aca="false">J227*AA227</f>
        <v>0</v>
      </c>
      <c r="AC227" s="24" t="n">
        <f aca="false">Z227+AB227</f>
        <v>0</v>
      </c>
      <c r="AD227" s="24" t="n">
        <f aca="false">AC227-(AC227*11.5%)</f>
        <v>0</v>
      </c>
      <c r="AE227" s="25" t="n">
        <v>0</v>
      </c>
      <c r="AF227" s="24" t="n">
        <f aca="false">I227+J227-AE227</f>
        <v>0</v>
      </c>
      <c r="AG227" s="24" t="n">
        <f aca="false">AF227-AD227</f>
        <v>0</v>
      </c>
      <c r="AH227" s="24" t="n">
        <f aca="false">J227+U227-AD227</f>
        <v>0</v>
      </c>
    </row>
    <row r="228" customFormat="false" ht="15" hidden="false" customHeight="false" outlineLevel="0" collapsed="false">
      <c r="A228" s="19"/>
      <c r="B228" s="20"/>
      <c r="C228" s="21"/>
      <c r="D228" s="4"/>
      <c r="F228" s="5"/>
      <c r="G228" s="5"/>
      <c r="H228" s="5"/>
      <c r="I228" s="6"/>
      <c r="J228" s="7"/>
      <c r="K228" s="4"/>
      <c r="L228" s="4"/>
      <c r="M228" s="4"/>
      <c r="Q228" s="22"/>
      <c r="S228" s="23" t="n">
        <v>0</v>
      </c>
      <c r="T228" s="24" t="n">
        <f aca="false">H228*S228</f>
        <v>0</v>
      </c>
      <c r="U228" s="24" t="n">
        <f aca="false">T228-(T228*4.6%)</f>
        <v>0</v>
      </c>
      <c r="V228" s="5" t="n">
        <v>0</v>
      </c>
      <c r="W228" s="24" t="n">
        <f aca="false">I228-V228</f>
        <v>0</v>
      </c>
      <c r="X228" s="24" t="n">
        <f aca="false">W228-U228</f>
        <v>0</v>
      </c>
      <c r="Y228" s="23" t="n">
        <v>0</v>
      </c>
      <c r="Z228" s="24" t="n">
        <f aca="false">G228*Y228</f>
        <v>0</v>
      </c>
      <c r="AA228" s="23" t="n">
        <v>0</v>
      </c>
      <c r="AB228" s="24" t="n">
        <f aca="false">J228*AA228</f>
        <v>0</v>
      </c>
      <c r="AC228" s="24" t="n">
        <f aca="false">Z228+AB228</f>
        <v>0</v>
      </c>
      <c r="AD228" s="24" t="n">
        <f aca="false">AC228-(AC228*11.5%)</f>
        <v>0</v>
      </c>
      <c r="AE228" s="25" t="n">
        <v>0</v>
      </c>
      <c r="AF228" s="24" t="n">
        <f aca="false">I228+J228-AE228</f>
        <v>0</v>
      </c>
      <c r="AG228" s="24" t="n">
        <f aca="false">AF228-AD228</f>
        <v>0</v>
      </c>
      <c r="AH228" s="24" t="n">
        <f aca="false">J228+U228-AD228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2021-01-04T10:13:01Z</dcterms:created>
  <dc:creator>Utente2</dc:creator>
  <dc:description/>
  <dc:language>it-IT</dc:language>
  <cp:lastModifiedBy/>
  <cp:lastPrinted>2023-05-12T10:01:32Z</cp:lastPrinted>
  <dcterms:modified xsi:type="dcterms:W3CDTF">2023-11-29T10:45:47Z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